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6cf8bb95b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汇总" sheetId="1" r:id="R4bccc65f2d3d4e80"/>
    <x:sheet xmlns:r="http://schemas.openxmlformats.org/officeDocument/2006/relationships" name="开发任务总表" sheetId="2" r:id="R87e65f71f67e429a"/>
    <x:sheet xmlns:r="http://schemas.openxmlformats.org/officeDocument/2006/relationships" name="问题与决策记录" sheetId="3" r:id="Reeeded8395714d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9">
    <x:font>
      <x:sz val="11"/>
      <x:name val="Carlito"/>
    </x:font>
    <x:font>
      <x:b/>
      <x:sz val="19"/>
      <x:color rgb="FFFFFFFF"/>
      <x:name val="PingFang SC"/>
    </x:font>
    <x:font>
      <x:sz val="10"/>
      <x:color rgb="FFEAF2F8"/>
      <x:name val="PingFang SC"/>
    </x:font>
    <x:font>
      <x:b/>
      <x:sz val="10"/>
      <x:color rgb="FF17324D"/>
      <x:name val="PingFang SC"/>
    </x:font>
    <x:font>
      <x:b/>
      <x:sz val="10"/>
      <x:color rgb="FFFFFFFF"/>
      <x:name val="PingFang SC"/>
    </x:font>
    <x:font>
      <x:sz val="9"/>
      <x:color rgb="FF263238"/>
      <x:name val="PingFang SC"/>
    </x:font>
    <x:font>
      <x:b/>
      <x:sz val="9"/>
      <x:color rgb="FF52606D"/>
      <x:name val="PingFang SC"/>
    </x:font>
    <x:font>
      <x:b/>
      <x:sz val="16"/>
      <x:color rgb="FF17324D"/>
      <x:name val="PingFang SC"/>
    </x:font>
    <x:font>
      <x:sz val="11"/>
      <x:name val="PingFang SC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44B6B"/>
      </x:patternFill>
    </x:fill>
    <x:fill>
      <x:patternFill patternType="solid">
        <x:fgColor rgb="FFF5F7F9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CBD2D9"/>
      </x:left>
      <x:top style="thin">
        <x:color rgb="FFCBD2D9"/>
      </x:top>
      <x:bottom style="thin">
        <x:color rgb="FFCBD2D9"/>
      </x:bottom>
    </x:border>
    <x:border>
      <x:top style="thin">
        <x:color rgb="FFCBD2D9"/>
      </x:top>
      <x:bottom style="thin">
        <x:color rgb="FFCBD2D9"/>
      </x:bottom>
    </x:border>
    <x:border>
      <x:right style="thin">
        <x:color rgb="FFCBD2D9"/>
      </x:right>
      <x:top style="thin">
        <x:color rgb="FFCBD2D9"/>
      </x:top>
      <x:bottom style="thin">
        <x:color rgb="FFCBD2D9"/>
      </x:bottom>
    </x:border>
    <x:border>
      <x:left style="thin">
        <x:color rgb="FFB8C4CC"/>
      </x:left>
      <x:right style="thin">
        <x:color rgb="FFB8C4CC"/>
      </x:right>
      <x:top style="thin">
        <x:color rgb="FFB8C4CC"/>
      </x:top>
      <x:bottom style="thin">
        <x:color rgb="FFB8C4CC"/>
      </x:bottom>
    </x:border>
    <x:border>
      <x:bottom style="thin">
        <x:color rgb="FFE4E7EB"/>
      </x:bottom>
    </x:border>
    <x:border>
      <x:top style="thin">
        <x:color rgb="FFE4E7EB"/>
      </x:top>
      <x:bottom style="thin">
        <x:color rgb="FFE4E7EB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3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3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6" fillId="4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3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7" fillId="6" borderId="3" xfId="0" applyNumberFormat="1" applyFont="1" applyFill="1" applyBorder="1" applyAlignment="1">
      <x:alignment horizontal="center" vertical="center"/>
    </x:xf>
    <x:xf numFmtId="200" fontId="7" fillId="6" borderId="1" xfId="0" applyNumberFormat="1" applyFont="1" applyFill="1" applyBorder="1" applyAlignment="1">
      <x:alignment horizontal="center" vertical="center"/>
    </x:xf>
    <x:xf numFmtId="200" fontId="7" fillId="6" borderId="3" xfId="0" applyNumberFormat="1" applyFont="1" applyFill="1" applyBorder="1" applyAlignment="1">
      <x:alignment horizontal="center" vertical="center"/>
    </x:xf>
    <x:xf numFmtId="201" fontId="7" fillId="6" borderId="1" xfId="0" applyNumberFormat="1" applyFont="1" applyFill="1" applyBorder="1" applyAlignment="1">
      <x:alignment horizontal="center" vertical="center"/>
    </x:xf>
    <x:xf numFmtId="201" fontId="7" fillId="6" borderId="3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 wrapText="1"/>
    </x:xf>
    <x:xf numFmtId="201" fontId="5" fillId="0" borderId="6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</x:cellXfs>
  <x:cellStyles count="1">
    <x:cellStyle name="Normal" xfId="0"/>
  </x:cellStyles>
  <x:dxfs count="21">
    <x:dxf>
      <x:font>
        <x:b/>
        <x:color rgb="FF2E7D32"/>
      </x:font>
      <x:fill>
        <x:patternFill patternType="solid">
          <x:bgColor rgb="FFEAF6EC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AF6EC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A66A0A"/>
      </x:font>
      <x:fill>
        <x:patternFill patternType="solid">
          <x:bgColor rgb="FFFFF7DF"/>
        </x:patternFill>
      </x:fill>
    </x:dxf>
    <x:dxf>
      <x:font>
        <x:b/>
        <x:color rgb="FF17324D"/>
      </x:font>
      <x:fill>
        <x:patternFill patternType="solid">
          <x:bgColor rgb="FFEEF2F6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0F766E"/>
      </x:font>
      <x:fill>
        <x:patternFill patternType="solid">
          <x:bgColor rgb="FFE8F6F3"/>
        </x:patternFill>
      </x:fill>
    </x:dxf>
    <x:dxf>
      <x:font>
        <x:b/>
        <x:color rgb="FF6D4CC2"/>
      </x:font>
      <x:fill>
        <x:patternFill patternType="solid">
          <x:bgColor rgb="FFF1ECFA"/>
        </x:patternFill>
      </x:fill>
    </x:dxf>
    <x:dxf>
      <x:font>
        <x:b/>
        <x:color rgb="FFA66A0A"/>
      </x:font>
      <x:fill>
        <x:patternFill patternType="solid">
          <x:bgColor rgb="FFFFF7DF"/>
        </x:patternFill>
      </x:fill>
    </x:dxf>
    <x:dxf>
      <x:font>
        <x:b/>
        <x:color rgb="FFB45309"/>
      </x:font>
      <x:fill>
        <x:patternFill patternType="solid">
          <x:bgColor rgb="FFFFF0EB"/>
        </x:patternFill>
      </x:fill>
    </x:dxf>
    <x:dxf>
      <x:font>
        <x:b/>
        <x:color rgb="FF2E7D32"/>
      </x:font>
      <x:fill>
        <x:patternFill patternType="solid">
          <x:bgColor rgb="FFEAF6EC"/>
        </x:patternFill>
      </x:fill>
    </x:dxf>
    <x:dxf>
      <x:font>
        <x:b/>
        <x:color rgb="FF2E7D32"/>
      </x:font>
      <x:fill>
        <x:patternFill patternType="solid">
          <x:bgColor rgb="FFEAF6EC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C62828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AF6EC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A66A0A"/>
      </x:font>
      <x:fill>
        <x:patternFill patternType="solid">
          <x:bgColor rgb="FFFFF7DF"/>
        </x:patternFill>
      </x:fill>
    </x:dxf>
    <x:dxf>
      <x:font>
        <x:b/>
        <x:color rgb="FF52606D"/>
      </x:font>
      <x:fill>
        <x:patternFill patternType="solid">
          <x:bgColor rgb="FFF5F7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7c91e9eed4c53" /><Relationship Type="http://schemas.openxmlformats.org/officeDocument/2006/relationships/theme" Target="/xl/theme/theme1.xml" Id="Rde72852d38204f32" /><Relationship Type="http://schemas.openxmlformats.org/officeDocument/2006/relationships/sharedStrings" Target="/xl/sharedStrings.xml" Id="R10c68d1727d34ae1" /><Relationship Type="http://schemas.openxmlformats.org/officeDocument/2006/relationships/worksheet" Target="/xl/worksheets/sheet1.xml" Id="R4bccc65f2d3d4e80" /><Relationship Type="http://schemas.openxmlformats.org/officeDocument/2006/relationships/worksheet" Target="/xl/worksheets/sheet2.xml" Id="R87e65f71f67e429a" /><Relationship Type="http://schemas.openxmlformats.org/officeDocument/2006/relationships/worksheet" Target="/xl/worksheets/sheet3.xml" Id="Reeeded8395714d74" /></Relationships>
</file>

<file path=xl/tables/table1.xml><?xml version="1.0" encoding="utf-8"?>
<x:table xmlns:x="http://schemas.openxmlformats.org/spreadsheetml/2006/main" id="2" name="SrmExecutionStages" displayName="SrmExecutionStages" ref="A7:J14" headerRowCount="1" totalsRowCount="0" totalsRowShown="0">
  <x:tableColumns count="10">
    <x:tableColumn id="1" name="阶段"/>
    <x:tableColumn id="2" name="阶段目标"/>
    <x:tableColumn id="3" name="前置依赖"/>
    <x:tableColumn id="4" name="主要交付物"/>
    <x:tableColumn id="5" name="阶段验收标准"/>
    <x:tableColumn id="6" name="任务数"/>
    <x:tableColumn id="7" name="已关闭"/>
    <x:tableColumn id="8" name="完成率"/>
    <x:tableColumn id="9" name="阶段状态"/>
    <x:tableColumn id="10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rmExecutionTasks" displayName="SrmExecutionTasks" ref="A5:H53" headerRowCount="1" totalsRowCount="0" totalsRowShown="0">
  <x:autoFilter ref="A5:H53"/>
  <x:tableColumns count="8">
    <x:tableColumn id="1" name="阶段"/>
    <x:tableColumn id="2" name="任务编号"/>
    <x:tableColumn id="3" name="开发内容"/>
    <x:tableColumn id="4" name="前置依赖"/>
    <x:tableColumn id="5" name="验收标准"/>
    <x:tableColumn id="6" name="开发状态"/>
    <x:tableColumn id="7" name="复核状态"/>
    <x:tableColumn id="8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rmExecutionDecisions" displayName="SrmExecutionDecisions" ref="A4:H14" headerRowCount="1" totalsRowCount="0" totalsRowShown="0">
  <x:autoFilter ref="A4:H14"/>
  <x:tableColumns count="8">
    <x:tableColumn id="1" name="决策编号"/>
    <x:tableColumn id="2" name="问题/事项"/>
    <x:tableColumn id="3" name="建议基线"/>
    <x:tableColumn id="4" name="最晚确认阶段"/>
    <x:tableColumn id="5" name="状态"/>
    <x:tableColumn id="6" name="最终结论"/>
    <x:tableColumn id="7" name="影响任务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dd515a59fa4b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998239445c4e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d8391ffb414c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3" hidden="0" customWidth="1"/>
    <x:col min="3" max="3" width="25" hidden="0" customWidth="1"/>
    <x:col min="4" max="4" width="40" hidden="0" customWidth="1"/>
    <x:col min="5" max="5" width="48" hidden="0" customWidth="1"/>
    <x:col min="6" max="6" width="10" hidden="0" customWidth="1"/>
    <x:col min="7" max="7" width="10" hidden="0" customWidth="1"/>
    <x:col min="8" max="8" width="12" hidden="0" customWidth="1"/>
    <x:col min="9" max="9" width="13" hidden="0" customWidth="1"/>
    <x:col min="10" max="10" width="22" hidden="0" customWidth="1"/>
  </x:cols>
  <x:sheetData>
    <x:row r="1" ht="34" customHeight="1">
      <x:c r="A1" s="4" t="str">
        <x:v>SRM V1.0 阶段汇总</x:v>
      </x:c>
      <x:c r="B1" s="4" t="str">
        <x:v>SRM V1.0 阶段汇总</x:v>
      </x:c>
      <x:c r="C1" s="4" t="str">
        <x:v>SRM V1.0 阶段汇总</x:v>
      </x:c>
      <x:c r="D1" s="4" t="str">
        <x:v>SRM V1.0 阶段汇总</x:v>
      </x:c>
      <x:c r="E1" s="4" t="str">
        <x:v>SRM V1.0 阶段汇总</x:v>
      </x:c>
      <x:c r="F1" s="4" t="str">
        <x:v>SRM V1.0 阶段汇总</x:v>
      </x:c>
      <x:c r="G1" s="4" t="str">
        <x:v>SRM V1.0 阶段汇总</x:v>
      </x:c>
      <x:c r="H1" s="4" t="str">
        <x:v>SRM V1.0 阶段汇总</x:v>
      </x:c>
      <x:c r="I1" s="4" t="str">
        <x:v>SRM V1.0 阶段汇总</x:v>
      </x:c>
      <x:c r="J1" s="4" t="str">
        <x:v>SRM V1.0 阶段汇总</x:v>
      </x:c>
    </x:row>
    <x:row r="2" ht="24" customHeight="1">
      <x:c r="A2" s="8" t="str">
        <x:v>阶段0–6为V1.0执行范围，共48个任务包；高级制造协同能力不计入本版上线范围。</x:v>
      </x:c>
      <x:c r="B2" s="8" t="str">
        <x:v>阶段0–6为V1.0执行范围，共48个任务包；高级制造协同能力不计入本版上线范围。</x:v>
      </x:c>
      <x:c r="C2" s="8" t="str">
        <x:v>阶段0–6为V1.0执行范围，共48个任务包；高级制造协同能力不计入本版上线范围。</x:v>
      </x:c>
      <x:c r="D2" s="8" t="str">
        <x:v>阶段0–6为V1.0执行范围，共48个任务包；高级制造协同能力不计入本版上线范围。</x:v>
      </x:c>
      <x:c r="E2" s="8" t="str">
        <x:v>阶段0–6为V1.0执行范围，共48个任务包；高级制造协同能力不计入本版上线范围。</x:v>
      </x:c>
      <x:c r="F2" s="8" t="str">
        <x:v>阶段0–6为V1.0执行范围，共48个任务包；高级制造协同能力不计入本版上线范围。</x:v>
      </x:c>
      <x:c r="G2" s="8" t="str">
        <x:v>阶段0–6为V1.0执行范围，共48个任务包；高级制造协同能力不计入本版上线范围。</x:v>
      </x:c>
      <x:c r="H2" s="8" t="str">
        <x:v>阶段0–6为V1.0执行范围，共48个任务包；高级制造协同能力不计入本版上线范围。</x:v>
      </x:c>
      <x:c r="I2" s="8" t="str">
        <x:v>阶段0–6为V1.0执行范围，共48个任务包；高级制造协同能力不计入本版上线范围。</x:v>
      </x:c>
      <x:c r="J2" s="8" t="str">
        <x:v>阶段0–6为V1.0执行范围，共48个任务包；高级制造协同能力不计入本版上线范围。</x:v>
      </x:c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  <x:c r="J3" s="56"/>
    </x:row>
    <x:row r="4" ht="22" customHeight="1">
      <x:c r="A4" s="40" t="str">
        <x:v>任务总数</x:v>
      </x:c>
      <x:c r="B4" s="41" t="str">
        <x:v>任务总数</x:v>
      </x:c>
      <x:c r="C4" s="40" t="str">
        <x:v>已关闭</x:v>
      </x:c>
      <x:c r="D4" s="41" t="str">
        <x:v>已关闭</x:v>
      </x:c>
      <x:c r="E4" s="40" t="str">
        <x:v>开发中</x:v>
      </x:c>
      <x:c r="F4" s="41" t="str">
        <x:v>开发中</x:v>
      </x:c>
      <x:c r="G4" s="40" t="str">
        <x:v>待复核/整改</x:v>
      </x:c>
      <x:c r="H4" s="41" t="str">
        <x:v>待复核/整改</x:v>
      </x:c>
      <x:c r="I4" s="40" t="str">
        <x:v>总体完成率</x:v>
      </x:c>
      <x:c r="J4" s="41" t="str">
        <x:v>总体完成率</x:v>
      </x:c>
    </x:row>
    <x:row r="5" ht="34" customHeight="1">
      <x:c r="A5" s="50" t="n">
        <x:f>COUNTA('开发任务总表'!$B$6:$B$53)</x:f>
        <x:v>48</x:v>
      </x:c>
      <x:c r="B5" s="51"/>
      <x:c r="C5" s="50" t="n">
        <x:f>COUNTIFS('开发任务总表'!$F$6:$F$53,"已完成",'开发任务总表'!$G$6:$G$53,"通过")+COUNTIFS('开发任务总表'!$F$6:$F$53,"已完成",'开发任务总表'!$G$6:$G$53,"不适用")</x:f>
        <x:v>1</x:v>
      </x:c>
      <x:c r="D5" s="51"/>
      <x:c r="E5" s="50" t="n">
        <x:f>COUNTIF('开发任务总表'!$F$6:$F$53,"进行中")</x:f>
        <x:v>0</x:v>
      </x:c>
      <x:c r="F5" s="51"/>
      <x:c r="G5" s="50" t="n">
        <x:f>COUNTIFS('开发任务总表'!$F$6:$F$53,"已完成",'开发任务总表'!$G$6:$G$53,"未复核")+COUNTIFS('开发任务总表'!$F$6:$F$53,"已完成",'开发任务总表'!$G$6:$G$53,"复核中")+COUNTIFS('开发任务总表'!$F$6:$F$53,"已完成",'开发任务总表'!$G$6:$G$53,"需整改")</x:f>
        <x:v>1</x:v>
      </x:c>
      <x:c r="H5" s="51"/>
      <x:c r="I5" s="52" t="n">
        <x:f>IFERROR((COUNTIFS('开发任务总表'!$F$6:$F$53,"已完成",'开发任务总表'!$G$6:$G$53,"通过")+COUNTIFS('开发任务总表'!$F$6:$F$53,"已完成",'开发任务总表'!$G$6:$G$53,"不适用"))/COUNTA('开发任务总表'!$B$6:$B$53),0)</x:f>
        <x:v>0.020833333333333332</x:v>
      </x:c>
      <x:c r="J5" s="53"/>
    </x:row>
    <x:row r="6">
      <x:c r="A6" s="56"/>
      <x:c r="B6" s="56"/>
      <x:c r="C6" s="56"/>
      <x:c r="D6" s="56"/>
      <x:c r="E6" s="56"/>
      <x:c r="F6" s="56"/>
      <x:c r="G6" s="56"/>
      <x:c r="H6" s="56"/>
      <x:c r="I6" s="56"/>
      <x:c r="J6" s="56"/>
    </x:row>
    <x:row r="7" ht="28" customHeight="1">
      <x:c r="A7" s="25" t="str">
        <x:v>阶段</x:v>
      </x:c>
      <x:c r="B7" s="25" t="str">
        <x:v>阶段目标</x:v>
      </x:c>
      <x:c r="C7" s="25" t="str">
        <x:v>前置依赖</x:v>
      </x:c>
      <x:c r="D7" s="25" t="str">
        <x:v>主要交付物</x:v>
      </x:c>
      <x:c r="E7" s="25" t="str">
        <x:v>阶段验收标准</x:v>
      </x:c>
      <x:c r="F7" s="25" t="str">
        <x:v>任务数</x:v>
      </x:c>
      <x:c r="G7" s="25" t="str">
        <x:v>已关闭</x:v>
      </x:c>
      <x:c r="H7" s="25" t="str">
        <x:v>完成率</x:v>
      </x:c>
      <x:c r="I7" s="25" t="str">
        <x:v>阶段状态</x:v>
      </x:c>
      <x:c r="J7" s="25" t="str">
        <x:v>备注</x:v>
      </x:c>
    </x:row>
    <x:row r="8" ht="68" customHeight="1">
      <x:c r="A8" s="33" t="str">
        <x:v>阶段0：设计与工程基线</x:v>
      </x:c>
      <x:c r="B8" s="31" t="str">
        <x:v>把已通过评审的总体蓝图转成可直接开发的对象、状态、权限和工程规则。</x:v>
      </x:c>
      <x:c r="C8" s="31" t="str">
        <x:v>V1.0蓝图已通过评审</x:v>
      </x:c>
      <x:c r="D8" s="31" t="str">
        <x:v>领域与状态设计、权限矩阵、ADR、工程规范、执行任务表</x:v>
      </x:c>
      <x:c r="E8" s="31" t="str">
        <x:v>关键边界和决策关闭；后续任务无需边开发边重定义核心模型。</x:v>
      </x:c>
      <x:c r="F8" s="33" t="n">
        <x:f>COUNTIF('开发任务总表'!$A$6:$A$53,A8)</x:f>
        <x:v>4</x:v>
      </x:c>
      <x:c r="G8" s="33" t="n">
        <x:f>COUNTIFS('开发任务总表'!$A$6:$A$53,A8,'开发任务总表'!$F$6:$F$53,"已完成",'开发任务总表'!$G$6:$G$53,"通过")+COUNTIFS('开发任务总表'!$A$6:$A$53,A8,'开发任务总表'!$F$6:$F$53,"已完成",'开发任务总表'!$G$6:$G$53,"不适用")</x:f>
        <x:v>1</x:v>
      </x:c>
      <x:c r="H8" s="54" t="n">
        <x:f>IF(F8=0,0,G8/F8)</x:f>
        <x:v>0.25</x:v>
      </x:c>
      <x:c r="I8" s="33" t="str">
        <x:f>IF(G8=F8,"已完成",IF(COUNTIFS('开发任务总表'!$A$6:$A$53,A8,'开发任务总表'!$F$6:$F$53,"受阻")&gt;0,"受阻",IF(COUNTIFS('开发任务总表'!$A$6:$A$53,A8,'开发任务总表'!$F$6:$F$53,"进行中")+COUNTIFS('开发任务总表'!$A$6:$A$53,A8,'开发任务总表'!$F$6:$F$53,"已完成")&gt;0,"进行中","未开始")))</x:f>
        <x:v>进行中</x:v>
      </x:c>
      <x:c r="J8" s="31" t="str"/>
    </x:row>
    <x:row r="9" ht="68" customHeight="1">
      <x:c r="A9" s="34" t="str">
        <x:v>阶段1：平台与数据底座</x:v>
      </x:c>
      <x:c r="B9" s="32" t="str">
        <x:v>形成可登录、可授权、可审计、可维护主数据的模块化单体平台。</x:v>
      </x:c>
      <x:c r="C9" s="32" t="str">
        <x:v>阶段0完成</x:v>
      </x:c>
      <x:c r="D9" s="32" t="str">
        <x:v>内部身份权限、流程任务、基础数据、集成底座、工作台骨架</x:v>
      </x:c>
      <x:c r="E9" s="32" t="str">
        <x:v>登录、菜单、数据域、审批、审计、主数据、备份恢复全部可验证。</x:v>
      </x:c>
      <x:c r="F9" s="34" t="n">
        <x:f>COUNTIF('开发任务总表'!$A$6:$A$53,A9)</x:f>
        <x:v>7</x:v>
      </x:c>
      <x:c r="G9" s="34" t="n">
        <x:f>COUNTIFS('开发任务总表'!$A$6:$A$53,A9,'开发任务总表'!$F$6:$F$53,"已完成",'开发任务总表'!$G$6:$G$53,"通过")+COUNTIFS('开发任务总表'!$A$6:$A$53,A9,'开发任务总表'!$F$6:$F$53,"已完成",'开发任务总表'!$G$6:$G$53,"不适用")</x:f>
        <x:v>0</x:v>
      </x:c>
      <x:c r="H9" s="55" t="n">
        <x:f>IF(F9=0,0,G9/F9)</x:f>
        <x:v>0</x:v>
      </x:c>
      <x:c r="I9" s="34" t="str">
        <x:f>IF(G9=F9,"已完成",IF(COUNTIFS('开发任务总表'!$A$6:$A$53,A9,'开发任务总表'!$F$6:$F$53,"受阻")&gt;0,"受阻",IF(COUNTIFS('开发任务总表'!$A$6:$A$53,A9,'开发任务总表'!$F$6:$F$53,"进行中")+COUNTIFS('开发任务总表'!$A$6:$A$53,A9,'开发任务总表'!$F$6:$F$53,"已完成")&gt;0,"进行中","未开始")))</x:f>
        <x:v>未开始</x:v>
      </x:c>
      <x:c r="J9" s="32" t="str"/>
    </x:row>
    <x:row r="10" ht="68" customHeight="1">
      <x:c r="A10" s="34" t="str">
        <x:v>阶段2：供应商与供应源基础</x:v>
      </x:c>
      <x:c r="B10" s="32" t="str">
        <x:v>建立供应商主体、站点、外部用户和候选/受控供应源的治理基础。</x:v>
      </x:c>
      <x:c r="C10" s="32" t="str">
        <x:v>阶段1身份权限、主数据、附件可用</x:v>
      </x:c>
      <x:c r="D10" s="32" t="str">
        <x:v>供应商门户、档案准入、资质生命周期、批准供应源台账</x:v>
      </x:c>
      <x:c r="E10" s="32" t="str">
        <x:v>新供应商可注册并进入受控供应源；冻结、过期和越权均被正确阻断。</x:v>
      </x:c>
      <x:c r="F10" s="34" t="n">
        <x:f>COUNTIF('开发任务总表'!$A$6:$A$53,A10)</x:f>
        <x:v>8</x:v>
      </x:c>
      <x:c r="G10" s="34" t="n">
        <x:f>COUNTIFS('开发任务总表'!$A$6:$A$53,A10,'开发任务总表'!$F$6:$F$53,"已完成",'开发任务总表'!$G$6:$G$53,"通过")+COUNTIFS('开发任务总表'!$A$6:$A$53,A10,'开发任务总表'!$F$6:$F$53,"已完成",'开发任务总表'!$G$6:$G$53,"不适用")</x:f>
        <x:v>0</x:v>
      </x:c>
      <x:c r="H10" s="55" t="n">
        <x:f>IF(F10=0,0,G10/F10)</x:f>
        <x:v>0</x:v>
      </x:c>
      <x:c r="I10" s="34" t="str">
        <x:f>IF(G10=F10,"已完成",IF(COUNTIFS('开发任务总表'!$A$6:$A$53,A10,'开发任务总表'!$F$6:$F$53,"受阻")&gt;0,"受阻",IF(COUNTIFS('开发任务总表'!$A$6:$A$53,A10,'开发任务总表'!$F$6:$F$53,"进行中")+COUNTIFS('开发任务总表'!$A$6:$A$53,A10,'开发任务总表'!$F$6:$F$53,"已完成")&gt;0,"进行中","未开始")))</x:f>
        <x:v>未开始</x:v>
      </x:c>
      <x:c r="J10" s="32" t="str"/>
    </x:row>
    <x:row r="11" ht="68" customHeight="1">
      <x:c r="A11" s="34" t="str">
        <x:v>阶段3：寻源、合同与转化</x:v>
      </x:c>
      <x:c r="B11" s="32" t="str">
        <x:v>让多入口寻源形成可审计定标，并转化为采购依据、价格和可用供应源。</x:v>
      </x:c>
      <x:c r="C11" s="32" t="str">
        <x:v>阶段2完成</x:v>
      </x:c>
      <x:c r="D11" s="32" t="str">
        <x:v>RFQ/报价/评审/定标、合同与价格、供应源激活关口</x:v>
      </x:c>
      <x:c r="E11" s="32" t="str">
        <x:v>定标不能直接下单；资格、依据、价格和供应源激活全部可追溯。</x:v>
      </x:c>
      <x:c r="F11" s="34" t="n">
        <x:f>COUNTIF('开发任务总表'!$A$6:$A$53,A11)</x:f>
        <x:v>7</x:v>
      </x:c>
      <x:c r="G11" s="34" t="n">
        <x:f>COUNTIFS('开发任务总表'!$A$6:$A$53,A11,'开发任务总表'!$F$6:$F$53,"已完成",'开发任务总表'!$G$6:$G$53,"通过")+COUNTIFS('开发任务总表'!$A$6:$A$53,A11,'开发任务总表'!$F$6:$F$53,"已完成",'开发任务总表'!$G$6:$G$53,"不适用")</x:f>
        <x:v>0</x:v>
      </x:c>
      <x:c r="H11" s="55" t="n">
        <x:f>IF(F11=0,0,G11/F11)</x:f>
        <x:v>0</x:v>
      </x:c>
      <x:c r="I11" s="34" t="str">
        <x:f>IF(G11=F11,"已完成",IF(COUNTIFS('开发任务总表'!$A$6:$A$53,A11,'开发任务总表'!$F$6:$F$53,"受阻")&gt;0,"受阻",IF(COUNTIFS('开发任务总表'!$A$6:$A$53,A11,'开发任务总表'!$F$6:$F$53,"进行中")+COUNTIFS('开发任务总表'!$A$6:$A$53,A11,'开发任务总表'!$F$6:$F$53,"已完成")&gt;0,"进行中","未开始")))</x:f>
        <x:v>未开始</x:v>
      </x:c>
      <x:c r="J11" s="32" t="str"/>
    </x:row>
    <x:row r="12" ht="68" customHeight="1">
      <x:c r="A12" s="34" t="str">
        <x:v>阶段4：采购与交付闭环</x:v>
      </x:c>
      <x:c r="B12" s="32" t="str">
        <x:v>跑通采购需求、供应源匹配、多供应商分配、PO、ASN和收货。</x:v>
      </x:c>
      <x:c r="C12" s="32" t="str">
        <x:v>阶段3完成；PO权威模式已确认</x:v>
      </x:c>
      <x:c r="D12" s="32" t="str">
        <x:v>需求与缺口、分配、PO协同、订单承诺、ASN、收货与退货</x:v>
      </x:c>
      <x:c r="E12" s="32" t="str">
        <x:v>需求到收货端到端跑通；重复、超发、晚交和旧版本等异常受控。</x:v>
      </x:c>
      <x:c r="F12" s="34" t="n">
        <x:f>COUNTIF('开发任务总表'!$A$6:$A$53,A12)</x:f>
        <x:v>8</x:v>
      </x:c>
      <x:c r="G12" s="34" t="n">
        <x:f>COUNTIFS('开发任务总表'!$A$6:$A$53,A12,'开发任务总表'!$F$6:$F$53,"已完成",'开发任务总表'!$G$6:$G$53,"通过")+COUNTIFS('开发任务总表'!$A$6:$A$53,A12,'开发任务总表'!$F$6:$F$53,"已完成",'开发任务总表'!$G$6:$G$53,"不适用")</x:f>
        <x:v>0</x:v>
      </x:c>
      <x:c r="H12" s="55" t="n">
        <x:f>IF(F12=0,0,G12/F12)</x:f>
        <x:v>0</x:v>
      </x:c>
      <x:c r="I12" s="34" t="str">
        <x:f>IF(G12=F12,"已完成",IF(COUNTIFS('开发任务总表'!$A$6:$A$53,A12,'开发任务总表'!$F$6:$F$53,"受阻")&gt;0,"受阻",IF(COUNTIFS('开发任务总表'!$A$6:$A$53,A12,'开发任务总表'!$F$6:$F$53,"进行中")+COUNTIFS('开发任务总表'!$A$6:$A$53,A12,'开发任务总表'!$F$6:$F$53,"已完成")&gt;0,"进行中","未开始")))</x:f>
        <x:v>未开始</x:v>
      </x:c>
      <x:c r="J12" s="32" t="str"/>
    </x:row>
    <x:row r="13" ht="68" customHeight="1">
      <x:c r="A13" s="34" t="str">
        <x:v>阶段5：质量与结算闭环</x:v>
      </x:c>
      <x:c r="B13" s="32" t="str">
        <x:v>把物料资格、来料质量、整改、对账和付款状态接入同一事实链。</x:v>
      </x:c>
      <x:c r="C13" s="32" t="str">
        <x:v>阶段4完成；质量和结算权威边界已确认</x:v>
      </x:c>
      <x:c r="D13" s="32" t="str">
        <x:v>物料资格、IQC/8D、供应源质量联动、对账发票与付款反馈</x:v>
      </x:c>
      <x:c r="E13" s="32" t="str">
        <x:v>质量结果影响供应源和可结算数量；对账、应付、付款状态清晰分离。</x:v>
      </x:c>
      <x:c r="F13" s="34" t="n">
        <x:f>COUNTIF('开发任务总表'!$A$6:$A$53,A13)</x:f>
        <x:v>8</x:v>
      </x:c>
      <x:c r="G13" s="34" t="n">
        <x:f>COUNTIFS('开发任务总表'!$A$6:$A$53,A13,'开发任务总表'!$F$6:$F$53,"已完成",'开发任务总表'!$G$6:$G$53,"通过")+COUNTIFS('开发任务总表'!$A$6:$A$53,A13,'开发任务总表'!$F$6:$F$53,"已完成",'开发任务总表'!$G$6:$G$53,"不适用")</x:f>
        <x:v>0</x:v>
      </x:c>
      <x:c r="H13" s="55" t="n">
        <x:f>IF(F13=0,0,G13/F13)</x:f>
        <x:v>0</x:v>
      </x:c>
      <x:c r="I13" s="34" t="str">
        <x:f>IF(G13=F13,"已完成",IF(COUNTIFS('开发任务总表'!$A$6:$A$53,A13,'开发任务总表'!$F$6:$F$53,"受阻")&gt;0,"受阻",IF(COUNTIFS('开发任务总表'!$A$6:$A$53,A13,'开发任务总表'!$F$6:$F$53,"进行中")+COUNTIFS('开发任务总表'!$A$6:$A$53,A13,'开发任务总表'!$F$6:$F$53,"已完成")&gt;0,"进行中","未开始")))</x:f>
        <x:v>未开始</x:v>
      </x:c>
      <x:c r="J13" s="32" t="str"/>
    </x:row>
    <x:row r="14" ht="68" customHeight="1">
      <x:c r="A14" s="34" t="str">
        <x:v>阶段6：绩效风险与上线</x:v>
      </x:c>
      <x:c r="B14" s="32" t="str">
        <x:v>基于业务事实形成评分、风险、改善和供应决策，并完成V1.0上线。</x:v>
      </x:c>
      <x:c r="C14" s="32" t="str">
        <x:v>阶段4–5形成稳定业务事实</x:v>
      </x:c>
      <x:c r="D14" s="32" t="str">
        <x:v>绩效评分、风险与改善、配额双供、管理工作台、上线切换</x:v>
      </x:c>
      <x:c r="E14" s="32" t="str">
        <x:v>绩效风险可反向驱动供应决策；全链路、非功能和上线验收通过。</x:v>
      </x:c>
      <x:c r="F14" s="34" t="n">
        <x:f>COUNTIF('开发任务总表'!$A$6:$A$53,A14)</x:f>
        <x:v>6</x:v>
      </x:c>
      <x:c r="G14" s="34" t="n">
        <x:f>COUNTIFS('开发任务总表'!$A$6:$A$53,A14,'开发任务总表'!$F$6:$F$53,"已完成",'开发任务总表'!$G$6:$G$53,"通过")+COUNTIFS('开发任务总表'!$A$6:$A$53,A14,'开发任务总表'!$F$6:$F$53,"已完成",'开发任务总表'!$G$6:$G$53,"不适用")</x:f>
        <x:v>0</x:v>
      </x:c>
      <x:c r="H14" s="55" t="n">
        <x:f>IF(F14=0,0,G14/F14)</x:f>
        <x:v>0</x:v>
      </x:c>
      <x:c r="I14" s="34" t="str">
        <x:f>IF(G14=F14,"已完成",IF(COUNTIFS('开发任务总表'!$A$6:$A$53,A14,'开发任务总表'!$F$6:$F$53,"受阻")&gt;0,"受阻",IF(COUNTIFS('开发任务总表'!$A$6:$A$53,A14,'开发任务总表'!$F$6:$F$53,"进行中")+COUNTIFS('开发任务总表'!$A$6:$A$53,A14,'开发任务总表'!$F$6:$F$53,"已完成")&gt;0,"进行中","未开始")))</x:f>
        <x:v>未开始</x:v>
      </x:c>
      <x:c r="J14" s="32" t="str"/>
    </x:row>
  </x:sheetData>
  <x:mergeCells>
    <x:mergeCell ref="A1:J1"/>
    <x:mergeCell ref="A2:J2"/>
    <x:mergeCell ref="A4:B4"/>
    <x:mergeCell ref="A5:B5"/>
    <x:mergeCell ref="C4:D4"/>
    <x:mergeCell ref="C5:D5"/>
    <x:mergeCell ref="E4:F4"/>
    <x:mergeCell ref="E5:F5"/>
    <x:mergeCell ref="G4:H4"/>
    <x:mergeCell ref="G5:H5"/>
    <x:mergeCell ref="I4:J4"/>
    <x:mergeCell ref="I5:J5"/>
  </x:mergeCells>
  <x:conditionalFormatting sqref="I8:I14">
    <x:cfRule type="containsText" dxfId="14" priority="1" operator="containsText" text="已完成"/>
    <x:cfRule type="containsText" dxfId="15" priority="2" operator="containsText" text="进行中"/>
    <x:cfRule type="containsText" dxfId="16" priority="3" operator="containsText" text="受阻"/>
  </x:conditionalFormatting>
  <x:conditionalFormatting sqref="H8:H14">
    <x:cfRule type="dataBar" priority="4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{EBF458C6-9486-DA0C-CB28-B420B519057E}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1dd515a59fa4b2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EBF458C6-9486-DA0C-CB28-B420B519057E}">
            <x14:dataBar gradient="1">
              <x14:cfvo type="min"/>
              <x14:cfvo type="max"/>
              <x14:fillColor rgb="FF0F766E"/>
            </x14:dataBar>
          </x14:cfRule>
          <xm:sqref>H8:H14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52" hidden="0" customWidth="1"/>
    <x:col min="4" max="4" width="24" hidden="0" customWidth="1"/>
    <x:col min="5" max="5" width="52" hidden="0" customWidth="1"/>
    <x:col min="6" max="6" width="13" hidden="0" customWidth="1"/>
    <x:col min="7" max="7" width="13" hidden="0" customWidth="1"/>
    <x:col min="8" max="8" width="25" hidden="0" customWidth="1"/>
  </x:cols>
  <x:sheetData>
    <x:row r="1" ht="34" customHeight="1">
      <x:c r="A1" s="4" t="str">
        <x:v>SRM V1.0 分阶段实施与开发任务总表｜执行版</x:v>
      </x:c>
      <x:c r="B1" s="4" t="str">
        <x:v>SRM V1.0 分阶段实施与开发任务总表｜执行版</x:v>
      </x:c>
      <x:c r="C1" s="4" t="str">
        <x:v>SRM V1.0 分阶段实施与开发任务总表｜执行版</x:v>
      </x:c>
      <x:c r="D1" s="4" t="str">
        <x:v>SRM V1.0 分阶段实施与开发任务总表｜执行版</x:v>
      </x:c>
      <x:c r="E1" s="4" t="str">
        <x:v>SRM V1.0 分阶段实施与开发任务总表｜执行版</x:v>
      </x:c>
      <x:c r="F1" s="4" t="str">
        <x:v>SRM V1.0 分阶段实施与开发任务总表｜执行版</x:v>
      </x:c>
      <x:c r="G1" s="4" t="str">
        <x:v>SRM V1.0 分阶段实施与开发任务总表｜执行版</x:v>
      </x:c>
      <x:c r="H1" s="4" t="str">
        <x:v>SRM V1.0 分阶段实施与开发任务总表｜执行版</x:v>
      </x:c>
    </x:row>
    <x:row r="2" ht="24" customHeight="1">
      <x:c r="A2" s="8" t="str">
        <x:v>使用方式：每次只取一个任务包生成详细开发任务书 → OpenCode开发 → Codex复核 → 用户验收；详细设计另存于03-模块详细设计。</x:v>
      </x:c>
      <x:c r="B2" s="8" t="str">
        <x:v>使用方式：每次只取一个任务包生成详细开发任务书 → OpenCode开发 → Codex复核 → 用户验收；详细设计另存于03-模块详细设计。</x:v>
      </x:c>
      <x:c r="C2" s="8" t="str">
        <x:v>使用方式：每次只取一个任务包生成详细开发任务书 → OpenCode开发 → Codex复核 → 用户验收；详细设计另存于03-模块详细设计。</x:v>
      </x:c>
      <x:c r="D2" s="8" t="str">
        <x:v>使用方式：每次只取一个任务包生成详细开发任务书 → OpenCode开发 → Codex复核 → 用户验收；详细设计另存于03-模块详细设计。</x:v>
      </x:c>
      <x:c r="E2" s="8" t="str">
        <x:v>使用方式：每次只取一个任务包生成详细开发任务书 → OpenCode开发 → Codex复核 → 用户验收；详细设计另存于03-模块详细设计。</x:v>
      </x:c>
      <x:c r="F2" s="8" t="str">
        <x:v>使用方式：每次只取一个任务包生成详细开发任务书 → OpenCode开发 → Codex复核 → 用户验收；详细设计另存于03-模块详细设计。</x:v>
      </x:c>
      <x:c r="G2" s="8" t="str">
        <x:v>使用方式：每次只取一个任务包生成详细开发任务书 → OpenCode开发 → Codex复核 → 用户验收；详细设计另存于03-模块详细设计。</x:v>
      </x:c>
      <x:c r="H2" s="8" t="str">
        <x:v>使用方式：每次只取一个任务包生成详细开发任务书 → OpenCode开发 → Codex复核 → 用户验收；详细设计另存于03-模块详细设计。</x:v>
      </x:c>
    </x:row>
    <x:row r="3" ht="26" customHeight="1">
      <x:c r="A3" s="17" t="str">
        <x:f>"任务包 "&amp;COUNTA('开发任务总表'!$B$6:$B$53)&amp;" 项"</x:f>
        <x:v>任务包 48 项</x:v>
      </x:c>
      <x:c r="B3" s="18"/>
      <x:c r="C3" s="18" t="str">
        <x:f>"已关闭 "&amp;(COUNTIFS('开发任务总表'!$F$6:$F$53,"已完成",'开发任务总表'!$G$6:$G$53,"通过")+COUNTIFS('开发任务总表'!$F$6:$F$53,"已完成",'开发任务总表'!$G$6:$G$53,"不适用"))&amp;" 项"</x:f>
        <x:v>已关闭 1 项</x:v>
      </x:c>
      <x:c r="D3" s="18"/>
      <x:c r="E3" s="18" t="str">
        <x:f>"总体进度 "&amp;TEXT(IFERROR((COUNTIFS('开发任务总表'!$F$6:$F$53,"已完成",'开发任务总表'!$G$6:$G$53,"通过")+COUNTIFS('开发任务总表'!$F$6:$F$53,"已完成",'开发任务总表'!$G$6:$G$53,"不适用"))/COUNTA('开发任务总表'!$B$6:$B$53),0),"0.0%")</x:f>
        <x:v>总体进度 2.1%</x:v>
      </x:c>
      <x:c r="F3" s="18"/>
      <x:c r="G3" s="18" t="str">
        <x:v>筛选阶段或状态即可开始执行</x:v>
      </x:c>
      <x:c r="H3" s="19" t="str">
        <x:v>筛选阶段或状态即可开始执行</x:v>
      </x:c>
    </x:row>
    <x:row r="4">
      <x:c r="A4" s="56"/>
      <x:c r="B4" s="56"/>
      <x:c r="C4" s="56"/>
      <x:c r="D4" s="56"/>
      <x:c r="E4" s="56"/>
      <x:c r="F4" s="56"/>
      <x:c r="G4" s="56"/>
      <x:c r="H4" s="56"/>
    </x:row>
    <x:row r="5" ht="28" customHeight="1">
      <x:c r="A5" s="25" t="str">
        <x:v>阶段</x:v>
      </x:c>
      <x:c r="B5" s="25" t="str">
        <x:v>任务编号</x:v>
      </x:c>
      <x:c r="C5" s="25" t="str">
        <x:v>开发内容</x:v>
      </x:c>
      <x:c r="D5" s="25" t="str">
        <x:v>前置依赖</x:v>
      </x:c>
      <x:c r="E5" s="25" t="str">
        <x:v>验收标准</x:v>
      </x:c>
      <x:c r="F5" s="25" t="str">
        <x:v>开发状态</x:v>
      </x:c>
      <x:c r="G5" s="25" t="str">
        <x:v>复核状态</x:v>
      </x:c>
      <x:c r="H5" s="25" t="str">
        <x:v>备注</x:v>
      </x:c>
    </x:row>
    <x:row r="6" ht="58" customHeight="1">
      <x:c r="A6" s="33" t="str">
        <x:v>阶段0：设计与工程基线</x:v>
      </x:c>
      <x:c r="B6" s="33" t="str">
        <x:v>E0-01</x:v>
      </x:c>
      <x:c r="C6" s="31" t="str">
        <x:v>确认《SRM供应商协同管理系统蓝图与总体设计说明书 V1.0》为唯一设计基线，冻结12个一级业务域、双循环和批准供应源模型。</x:v>
      </x:c>
      <x:c r="D6" s="31" t="str">
        <x:v>无</x:v>
      </x:c>
      <x:c r="E6" s="31" t="str">
        <x:v>蓝图已通过评审；旧SCM只作技术资产参考，不继承旧业务结构。</x:v>
      </x:c>
      <x:c r="F6" s="33" t="str">
        <x:v>已完成</x:v>
      </x:c>
      <x:c r="G6" s="33" t="str">
        <x:v>通过</x:v>
      </x:c>
      <x:c r="H6" s="31" t="str">
        <x:v>正式基线</x:v>
      </x:c>
    </x:row>
    <x:row r="7" ht="58" customHeight="1">
      <x:c r="A7" s="34" t="str">
        <x:v>阶段0：设计与工程基线</x:v>
      </x:c>
      <x:c r="B7" s="34" t="str">
        <x:v>E0-02</x:v>
      </x:c>
      <x:c r="C7" s="32" t="str">
        <x:v>形成简化执行任务总表，以及单阶段开发任务书、复核报告、提交与部署记录模板。</x:v>
      </x:c>
      <x:c r="D7" s="32" t="str">
        <x:v>E0-01</x:v>
      </x:c>
      <x:c r="E7" s="32" t="str">
        <x:v>阶段0至6共48个任务包；状态、依赖和验收口径可直接用于日常推进。</x:v>
      </x:c>
      <x:c r="F7" s="34" t="str">
        <x:v>已完成</x:v>
      </x:c>
      <x:c r="G7" s="34" t="str">
        <x:v>未复核</x:v>
      </x:c>
      <x:c r="H7" s="32" t="str">
        <x:v>本文件</x:v>
      </x:c>
    </x:row>
    <x:row r="8" ht="58" customHeight="1">
      <x:c r="A8" s="34" t="str">
        <x:v>阶段0：设计与工程基线</x:v>
      </x:c>
      <x:c r="B8" s="34" t="str">
        <x:v>E0-03</x:v>
      </x:c>
      <x:c r="C8" s="32" t="str">
        <x:v>完成核心对象、状态机、业务动作和权限矩阵详细设计，覆盖供应商、资格、采购依据、供应源、需求、PO、ASN、质量和对账。</x:v>
      </x:c>
      <x:c r="D8" s="32" t="str">
        <x:v>E0-01</x:v>
      </x:c>
      <x:c r="E8" s="32" t="str">
        <x:v>业务状态、审批状态和接口状态分离；状态动作可直接转为表结构、接口和测试用例。</x:v>
      </x:c>
      <x:c r="F8" s="34" t="str">
        <x:v>未开始</x:v>
      </x:c>
      <x:c r="G8" s="34" t="str">
        <x:v>未复核</x:v>
      </x:c>
      <x:c r="H8" s="32" t="str">
        <x:v>先设计后编码</x:v>
      </x:c>
    </x:row>
    <x:row r="9" ht="58" customHeight="1">
      <x:c r="A9" s="34" t="str">
        <x:v>阶段0：设计与工程基线</x:v>
      </x:c>
      <x:c r="B9" s="34" t="str">
        <x:v>E0-04</x:v>
      </x:c>
      <x:c r="C9" s="32" t="str">
        <x:v>确认PO、IQC、结算、主数据权威边界，并固化数据库、API、事件、审计、安全、部署和变更规范。</x:v>
      </x:c>
      <x:c r="D9" s="32" t="str">
        <x:v>E0-03；D-001至D-010</x:v>
      </x:c>
      <x:c r="E9" s="32" t="str">
        <x:v>关键决策形成ADR；幂等、版本、快照、脱敏、备份恢复和单服务器部署规则明确。</x:v>
      </x:c>
      <x:c r="F9" s="34" t="str">
        <x:v>未开始</x:v>
      </x:c>
      <x:c r="G9" s="34" t="str">
        <x:v>未复核</x:v>
      </x:c>
      <x:c r="H9" s="32" t="str">
        <x:v>阶段0出口</x:v>
      </x:c>
    </x:row>
    <x:row r="10" ht="58" customHeight="1">
      <x:c r="A10" s="34" t="str">
        <x:v>阶段1：平台与数据底座</x:v>
      </x:c>
      <x:c r="B10" s="34" t="str">
        <x:v>E1-01</x:v>
      </x:c>
      <x:c r="C10" s="32" t="str">
        <x:v>建立模块化单体前后端工程、数据库迁移、统一异常、配置、日志脱敏、健康检查与备份恢复基线。</x:v>
      </x:c>
      <x:c r="D10" s="32" t="str">
        <x:v>E0-04</x:v>
      </x:c>
      <x:c r="E10" s="32" t="str">
        <x:v>前后端可构建启动；迁移脚本可重复执行；健康检查、日志和备份恢复可验证。</x:v>
      </x:c>
      <x:c r="F10" s="34" t="str">
        <x:v>未开始</x:v>
      </x:c>
      <x:c r="G10" s="34" t="str">
        <x:v>未复核</x:v>
      </x:c>
      <x:c r="H10" s="32" t="str">
        <x:v>工程底座</x:v>
      </x:c>
    </x:row>
    <x:row r="11" ht="58" customHeight="1">
      <x:c r="A11" s="34" t="str">
        <x:v>阶段1：平台与数据底座</x:v>
      </x:c>
      <x:c r="B11" s="34" t="str">
        <x:v>E1-02</x:v>
      </x:c>
      <x:c r="C11" s="32" t="str">
        <x:v>实现内部用户登录、组织/部门/岗位、用户管理，以及“角色下挂用户”的角色维护方式。</x:v>
      </x:c>
      <x:c r="D11" s="32" t="str">
        <x:v>E1-01</x:v>
      </x:c>
      <x:c r="E11" s="32" t="str">
        <x:v>用户可登录、启停和归属组织；角色侧可挂载用户；历史关联不因停用被删除。</x:v>
      </x:c>
      <x:c r="F11" s="34" t="str">
        <x:v>未开始</x:v>
      </x:c>
      <x:c r="G11" s="34" t="str">
        <x:v>未复核</x:v>
      </x:c>
      <x:c r="H11" s="32" t="str">
        <x:v>身份基础</x:v>
      </x:c>
    </x:row>
    <x:row r="12" ht="58" customHeight="1">
      <x:c r="A12" s="34" t="str">
        <x:v>阶段1：平台与数据底座</x:v>
      </x:c>
      <x:c r="B12" s="34" t="str">
        <x:v>E1-03</x:v>
      </x:c>
      <x:c r="C12" s="32" t="str">
        <x:v>实现菜单、按钮、接口权限，多维数据范围和关键职责分离控制。</x:v>
      </x:c>
      <x:c r="D12" s="32" t="str">
        <x:v>E1-02</x:v>
      </x:c>
      <x:c r="E12" s="32" t="str">
        <x:v>前后端权限一致；查询/详情/导出统一应用数据域；关键人员不能审批本人发起事项。</x:v>
      </x:c>
      <x:c r="F12" s="34" t="str">
        <x:v>未开始</x:v>
      </x:c>
      <x:c r="G12" s="34" t="str">
        <x:v>未复核</x:v>
      </x:c>
      <x:c r="H12" s="32" t="str">
        <x:v>安全P0</x:v>
      </x:c>
    </x:row>
    <x:row r="13" ht="58" customHeight="1">
      <x:c r="A13" s="34" t="str">
        <x:v>阶段1：平台与数据底座</x:v>
      </x:c>
      <x:c r="B13" s="34" t="str">
        <x:v>E1-04</x:v>
      </x:c>
      <x:c r="C13" s="32" t="str">
        <x:v>实现通用审批、领域状态回调、统一任务/SLA和站内消息通知。</x:v>
      </x:c>
      <x:c r="D13" s="32" t="str">
        <x:v>E1-02,E1-03</x:v>
      </x:c>
      <x:c r="E13" s="32" t="str">
        <x:v>审批不越权改变领域状态；任务有责任人、期限和证据；重复事件不重复建待办。</x:v>
      </x:c>
      <x:c r="F13" s="34" t="str">
        <x:v>未开始</x:v>
      </x:c>
      <x:c r="G13" s="34" t="str">
        <x:v>未复核</x:v>
      </x:c>
      <x:c r="H13" s="32" t="str">
        <x:v>通用协同</x:v>
      </x:c>
    </x:row>
    <x:row r="14" ht="58" customHeight="1">
      <x:c r="A14" s="34" t="str">
        <x:v>阶段1：平台与数据底座</x:v>
      </x:c>
      <x:c r="B14" s="34" t="str">
        <x:v>E1-05</x:v>
      </x:c>
      <x:c r="C14" s="32" t="str">
        <x:v>实现附件、业务/安全审计、字典参数编号，以及列表、表单、批量导入导出和错误明细等通用组件。</x:v>
      </x:c>
      <x:c r="D14" s="32" t="str">
        <x:v>E1-01,E1-03</x:v>
      </x:c>
      <x:c r="E14" s="32" t="str">
        <x:v>附件下载重新鉴权；关键变更可追溯；列表服务端分页；批量错误可下载和重试。</x:v>
      </x:c>
      <x:c r="F14" s="34" t="str">
        <x:v>未开始</x:v>
      </x:c>
      <x:c r="G14" s="34" t="str">
        <x:v>未复核</x:v>
      </x:c>
      <x:c r="H14" s="32" t="str">
        <x:v>公共能力</x:v>
      </x:c>
    </x:row>
    <x:row r="15" ht="58" customHeight="1">
      <x:c r="A15" s="34" t="str">
        <x:v>阶段1：平台与数据底座</x:v>
      </x:c>
      <x:c r="B15" s="34" t="str">
        <x:v>E1-06</x:v>
      </x:c>
      <x:c r="C15" s="32" t="str">
        <x:v>实现组织、工厂、交付地点、物料、品类、单位、币种、税码等主数据及外部映射、Outbox/Inbox和接口任务监控。</x:v>
      </x:c>
      <x:c r="D15" s="32" t="str">
        <x:v>E1-01,E1-03</x:v>
      </x:c>
      <x:c r="E15" s="32" t="str">
        <x:v>主数据来源和外部版本可追溯；重复、乱序和失败重试不影响业务状态。</x:v>
      </x:c>
      <x:c r="F15" s="34" t="str">
        <x:v>未开始</x:v>
      </x:c>
      <x:c r="G15" s="34" t="str">
        <x:v>未复核</x:v>
      </x:c>
      <x:c r="H15" s="32" t="str">
        <x:v>集成底座</x:v>
      </x:c>
    </x:row>
    <x:row r="16" ht="58" customHeight="1">
      <x:c r="A16" s="34" t="str">
        <x:v>阶段1：平台与数据底座</x:v>
      </x:c>
      <x:c r="B16" s="34" t="str">
        <x:v>E1-07</x:v>
      </x:c>
      <x:c r="C16" s="32" t="str">
        <x:v>完成角色化工作台首页骨架，并对平台底座进行登录、权限、数据域、审批、审计和恢复验收。</x:v>
      </x:c>
      <x:c r="D16" s="32" t="str">
        <x:v>E1-02至E1-06</x:v>
      </x:c>
      <x:c r="E16" s="32" t="str">
        <x:v>工作台即首页且按角色显示；平台关键能力和负向权限用例全部通过。</x:v>
      </x:c>
      <x:c r="F16" s="34" t="str">
        <x:v>未开始</x:v>
      </x:c>
      <x:c r="G16" s="34" t="str">
        <x:v>未复核</x:v>
      </x:c>
      <x:c r="H16" s="32" t="str">
        <x:v>阶段1出口</x:v>
      </x:c>
    </x:row>
    <x:row r="17" ht="58" customHeight="1">
      <x:c r="A17" s="34" t="str">
        <x:v>阶段2：供应商与供应源基础</x:v>
      </x:c>
      <x:c r="B17" s="34" t="str">
        <x:v>E2-01</x:v>
      </x:c>
      <x:c r="C17" s="32" t="str">
        <x:v>实现供应商资源池、邀请/自主注册、重复识别、NDA和寻源参与资格预审。</x:v>
      </x:c>
      <x:c r="D17" s="32" t="str">
        <x:v>E1-04至E1-06</x:v>
      </x:c>
      <x:c r="E17" s="32" t="str">
        <x:v>潜在供应商与准入供应商分离；仅通过最低资格或批准例外者可被正式邀请寻源。</x:v>
      </x:c>
      <x:c r="F17" s="34" t="str">
        <x:v>未开始</x:v>
      </x:c>
      <x:c r="G17" s="34" t="str">
        <x:v>未复核</x:v>
      </x:c>
      <x:c r="H17" s="32" t="str">
        <x:v>供应商入口</x:v>
      </x:c>
    </x:row>
    <x:row r="18" ht="58" customHeight="1">
      <x:c r="A18" s="34" t="str">
        <x:v>阶段2：供应商与供应源基础</x:v>
      </x:c>
      <x:c r="B18" s="34" t="str">
        <x:v>E2-02</x:v>
      </x:c>
      <x:c r="C18" s="32" t="str">
        <x:v>实现供应商主体档案、站点、联系人、开票属性和银行等敏感信息变更控制。</x:v>
      </x:c>
      <x:c r="D18" s="32" t="str">
        <x:v>E2-01,E1-03</x:v>
      </x:c>
      <x:c r="E18" s="32" t="str">
        <x:v>主体ID稳定、变更留版本；站点资格独立；银行信息加密并执行双人审批。</x:v>
      </x:c>
      <x:c r="F18" s="34" t="str">
        <x:v>未开始</x:v>
      </x:c>
      <x:c r="G18" s="34" t="str">
        <x:v>未复核</x:v>
      </x:c>
      <x:c r="H18" s="32" t="str">
        <x:v>档案与站点</x:v>
      </x:c>
    </x:row>
    <x:row r="19" ht="58" customHeight="1">
      <x:c r="A19" s="34" t="str">
        <x:v>阶段2：供应商与供应源基础</x:v>
      </x:c>
      <x:c r="B19" s="34" t="str">
        <x:v>E2-03</x:v>
      </x:c>
      <x:c r="C19" s="32" t="str">
        <x:v>实现供应商管理员/业务用户、站点授权和供应商门户首页、任务、资料与消息。</x:v>
      </x:c>
      <x:c r="D19" s="32" t="str">
        <x:v>E2-02,E1-04</x:v>
      </x:c>
      <x:c r="E19" s="32" t="str">
        <x:v>后端强制绑定supplier_id和站点范围；供应商看不到内部评论、评分及其他供应商数据。</x:v>
      </x:c>
      <x:c r="F19" s="34" t="str">
        <x:v>未开始</x:v>
      </x:c>
      <x:c r="G19" s="34" t="str">
        <x:v>未复核</x:v>
      </x:c>
      <x:c r="H19" s="32" t="str">
        <x:v>外部门户</x:v>
      </x:c>
    </x:row>
    <x:row r="20" ht="58" customHeight="1">
      <x:c r="A20" s="34" t="str">
        <x:v>阶段2：供应商与供应源基础</x:v>
      </x:c>
      <x:c r="B20" s="34" t="str">
        <x:v>E2-04</x:v>
      </x:c>
      <x:c r="C20" s="32" t="str">
        <x:v>实现资质证照类型、编号、范围、有效期、附件、核验、临期和失效联动。</x:v>
      </x:c>
      <x:c r="D20" s="32" t="str">
        <x:v>E2-02,E1-05</x:v>
      </x:c>
      <x:c r="E20" s="32" t="str">
        <x:v>证照版本不可覆盖；临期生成任务；失效触发复审或供应源限制评估。</x:v>
      </x:c>
      <x:c r="F20" s="34" t="str">
        <x:v>未开始</x:v>
      </x:c>
      <x:c r="G20" s="34" t="str">
        <x:v>未复核</x:v>
      </x:c>
      <x:c r="H20" s="32" t="str">
        <x:v>资质治理</x:v>
      </x:c>
    </x:row>
    <x:row r="21" ht="58" customHeight="1">
      <x:c r="A21" s="34" t="str">
        <x:v>阶段2：供应商与供应源基础</x:v>
      </x:c>
      <x:c r="B21" s="34" t="str">
        <x:v>E2-05</x:v>
      </x:c>
      <x:c r="C21" s="32" t="str">
        <x:v>实现按品类/风险分层的准入问卷、职能评审、现场审核、整改、审批和条件通过。</x:v>
      </x:c>
      <x:c r="D21" s="32" t="str">
        <x:v>E2-02,E2-04,E1-04</x:v>
      </x:c>
      <x:c r="E21" s="32" t="str">
        <x:v>资料不完整不能评审；结论和例外有证据；主体准入不自动生成正式供应源。</x:v>
      </x:c>
      <x:c r="F21" s="34" t="str">
        <x:v>未开始</x:v>
      </x:c>
      <x:c r="G21" s="34" t="str">
        <x:v>未复核</x:v>
      </x:c>
      <x:c r="H21" s="32" t="str">
        <x:v>准入闭环</x:v>
      </x:c>
    </x:row>
    <x:row r="22" ht="58" customHeight="1">
      <x:c r="A22" s="34" t="str">
        <x:v>阶段2：供应商与供应源基础</x:v>
      </x:c>
      <x:c r="B22" s="34" t="str">
        <x:v>E2-06</x:v>
      </x:c>
      <x:c r="C22" s="32" t="str">
        <x:v>实现供应商周期复审、关键变更、限制、冻结、退出、黑名单和开放业务处置。</x:v>
      </x:c>
      <x:c r="D22" s="32" t="str">
        <x:v>E2-05,E1-04</x:v>
      </x:c>
      <x:c r="E22" s="32" t="str">
        <x:v>冻结不修改历史事实；默认阻断新分配/新PO；开放事项逐项给出处置结论。</x:v>
      </x:c>
      <x:c r="F22" s="34" t="str">
        <x:v>未开始</x:v>
      </x:c>
      <x:c r="G22" s="34" t="str">
        <x:v>未复核</x:v>
      </x:c>
      <x:c r="H22" s="32" t="str">
        <x:v>生命周期</x:v>
      </x:c>
    </x:row>
    <x:row r="23" ht="58" customHeight="1">
      <x:c r="A23" s="34" t="str">
        <x:v>阶段2：供应商与供应源基础</x:v>
      </x:c>
      <x:c r="B23" s="34" t="str">
        <x:v>E2-07</x:v>
      </x:c>
      <x:c r="C23" s="32" t="str">
        <x:v>建立供应商+站点+物料/品类+采购组织/工厂+有效期的批准供应源模型、状态、能力参数和版本历史。</x:v>
      </x:c>
      <x:c r="D23" s="32" t="str">
        <x:v>E2-02,E1-06</x:v>
      </x:c>
      <x:c r="E23" s="32" t="str">
        <x:v>支持候选、试制、条件、正式、限制、暂停、过期和终止；MOQ/MPQ、交期、产能和范围可追溯。</x:v>
      </x:c>
      <x:c r="F23" s="34" t="str">
        <x:v>未开始</x:v>
      </x:c>
      <x:c r="G23" s="34" t="str">
        <x:v>未复核</x:v>
      </x:c>
      <x:c r="H23" s="32" t="str">
        <x:v>核心治理对象</x:v>
      </x:c>
    </x:row>
    <x:row r="24" ht="58" customHeight="1">
      <x:c r="A24" s="34" t="str">
        <x:v>阶段2：供应商与供应源基础</x:v>
      </x:c>
      <x:c r="B24" s="34" t="str">
        <x:v>E2-08</x:v>
      </x:c>
      <x:c r="C24" s="32" t="str">
        <x:v>执行从供应商注册、预审、准入、站点/用户、资质到候选/条件供应源的端到端验收。</x:v>
      </x:c>
      <x:c r="D24" s="32" t="str">
        <x:v>E2-01至E2-07</x:v>
      </x:c>
      <x:c r="E24" s="32" t="str">
        <x:v>通过标准、拒绝、条件通过、资质过期、冻结和供应商越权等正负向用例。</x:v>
      </x:c>
      <x:c r="F24" s="34" t="str">
        <x:v>未开始</x:v>
      </x:c>
      <x:c r="G24" s="34" t="str">
        <x:v>未复核</x:v>
      </x:c>
      <x:c r="H24" s="32" t="str">
        <x:v>阶段2出口</x:v>
      </x:c>
    </x:row>
    <x:row r="25" ht="58" customHeight="1">
      <x:c r="A25" s="34" t="str">
        <x:v>阶段3：寻源、合同与转化</x:v>
      </x:c>
      <x:c r="B25" s="34" t="str">
        <x:v>E3-01</x:v>
      </x:c>
      <x:c r="C25" s="32" t="str">
        <x:v>实现NPI、新物料、第二供应源、年度议价、风险替代和采购缺口等多入口寻源需求、项目策略与邀请资格。</x:v>
      </x:c>
      <x:c r="D25" s="32" t="str">
        <x:v>E2-08</x:v>
      </x:c>
      <x:c r="E25" s="32" t="str">
        <x:v>寻源触发原因、目标、范围、团队和参与资格完整；寻源不是每笔采购需求的必经环节。</x:v>
      </x:c>
      <x:c r="F25" s="34" t="str">
        <x:v>未开始</x:v>
      </x:c>
      <x:c r="G25" s="34" t="str">
        <x:v>未复核</x:v>
      </x:c>
      <x:c r="H25" s="32" t="str">
        <x:v>寻源启动</x:v>
      </x:c>
    </x:row>
    <x:row r="26" ht="58" customHeight="1">
      <x:c r="A26" s="34" t="str">
        <x:v>阶段3：寻源、合同与转化</x:v>
      </x:c>
      <x:c r="B26" s="34" t="str">
        <x:v>E3-02</x:v>
      </x:c>
      <x:c r="C26" s="32" t="str">
        <x:v>实现RFQ物料包、技术/商务条款、供应商多轮报价、撤回重报和结构化澄清。</x:v>
      </x:c>
      <x:c r="D26" s="32" t="str">
        <x:v>E3-01,E2-03</x:v>
      </x:c>
      <x:c r="E26" s="32" t="str">
        <x:v>发布版本冻结；报价在截止/开标前保密；每轮报价、偏离和附件完整留痕。</x:v>
      </x:c>
      <x:c r="F26" s="34" t="str">
        <x:v>未开始</x:v>
      </x:c>
      <x:c r="G26" s="34" t="str">
        <x:v>未复核</x:v>
      </x:c>
      <x:c r="H26" s="32" t="str">
        <x:v>RFQ与报价</x:v>
      </x:c>
    </x:row>
    <x:row r="27" ht="58" customHeight="1">
      <x:c r="A27" s="34" t="str">
        <x:v>阶段3：寻源、合同与转化</x:v>
      </x:c>
      <x:c r="B27" s="34" t="str">
        <x:v>E3-03</x:v>
      </x:c>
      <x:c r="C27" s="32" t="str">
        <x:v>实现技术/商务/质量评审模板、密封开标、利益冲突声明、独立评分和综合评审。</x:v>
      </x:c>
      <x:c r="D27" s="32" t="str">
        <x:v>E3-02,E1-04</x:v>
      </x:c>
      <x:c r="E27" s="32" t="str">
        <x:v>未达条件不能开标；评分调整和非最低价中标有理由、审批与审计。</x:v>
      </x:c>
      <x:c r="F27" s="34" t="str">
        <x:v>未开始</x:v>
      </x:c>
      <x:c r="G27" s="34" t="str">
        <x:v>未复核</x:v>
      </x:c>
      <x:c r="H27" s="32" t="str">
        <x:v>评审控制</x:v>
      </x:c>
    </x:row>
    <x:row r="28" ht="58" customHeight="1">
      <x:c r="A28" s="34" t="str">
        <x:v>阶段3：寻源、合同与转化</x:v>
      </x:c>
      <x:c r="B28" s="34" t="str">
        <x:v>E3-04</x:v>
      </x:c>
      <x:c r="C28" s="32" t="str">
        <x:v>实现定标方案、中选物料/价格/目标份额、定标审批、重新定标和并行转化任务。</x:v>
      </x:c>
      <x:c r="D28" s="32" t="str">
        <x:v>E3-03,E1-04</x:v>
      </x:c>
      <x:c r="E28" s="32" t="str">
        <x:v>定标份额不等于配额或实际分配；定标不授予下单资格；转化任务独立跟踪。</x:v>
      </x:c>
      <x:c r="F28" s="34" t="str">
        <x:v>未开始</x:v>
      </x:c>
      <x:c r="G28" s="34" t="str">
        <x:v>未复核</x:v>
      </x:c>
      <x:c r="H28" s="32" t="str">
        <x:v>定标转化</x:v>
      </x:c>
    </x:row>
    <x:row r="29" ht="58" customHeight="1">
      <x:c r="A29" s="34" t="str">
        <x:v>阶段3：寻源、合同与转化</x:v>
      </x:c>
      <x:c r="B29" s="34" t="str">
        <x:v>E3-05</x:v>
      </x:c>
      <x:c r="C29" s="32" t="str">
        <x:v>实现框架/专项/补充/价格/试制协议、PO条款和批准例外等采购依据台账、生命周期及覆盖校验。</x:v>
      </x:c>
      <x:c r="D29" s="32" t="str">
        <x:v>E3-04,E1-05</x:v>
      </x:c>
      <x:c r="E29" s="32" t="str">
        <x:v>采购依据覆盖供应商、站点、物料/品类、组织、工厂、交易类型、额度和有效期。</x:v>
      </x:c>
      <x:c r="F29" s="34" t="str">
        <x:v>未开始</x:v>
      </x:c>
      <x:c r="G29" s="34" t="str">
        <x:v>未复核</x:v>
      </x:c>
      <x:c r="H29" s="32" t="str">
        <x:v>合同与依据</x:v>
      </x:c>
    </x:row>
    <x:row r="30" ht="58" customHeight="1">
      <x:c r="A30" s="34" t="str">
        <x:v>阶段3：寻源、合同与转化</x:v>
      </x:c>
      <x:c r="B30" s="34" t="str">
        <x:v>E3-06</x:v>
      </x:c>
      <x:c r="C30" s="32" t="str">
        <x:v>实现固定、阶梯、试制/量产、公式等价格条件版本，以及供应源激活规则引擎G3。</x:v>
      </x:c>
      <x:c r="D30" s="32" t="str">
        <x:v>E2-07,E3-04,E3-05</x:v>
      </x:c>
      <x:c r="E30" s="32" t="str">
        <x:v>订单引用生效价格快照；缺少准入、资格、依据、价格或能力时不能激活正式供应源。</x:v>
      </x:c>
      <x:c r="F30" s="34" t="str">
        <x:v>未开始</x:v>
      </x:c>
      <x:c r="G30" s="34" t="str">
        <x:v>未复核</x:v>
      </x:c>
      <x:c r="H30" s="32" t="str">
        <x:v>价格与激活</x:v>
      </x:c>
    </x:row>
    <x:row r="31" ht="58" customHeight="1">
      <x:c r="A31" s="34" t="str">
        <x:v>阶段3：寻源、合同与转化</x:v>
      </x:c>
      <x:c r="B31" s="34" t="str">
        <x:v>E3-07</x:v>
      </x:c>
      <x:c r="C31" s="32" t="str">
        <x:v>执行RFQ、多轮报价、评审定标、采购依据/价格/资格并行转化到条件或正式供应源的端到端验收。</x:v>
      </x:c>
      <x:c r="D31" s="32" t="str">
        <x:v>E3-01至E3-06</x:v>
      </x:c>
      <x:c r="E31" s="32" t="str">
        <x:v>资格不足、依据失效、价格未生效、重新定标和非最低价中标等正负向用例通过。</x:v>
      </x:c>
      <x:c r="F31" s="34" t="str">
        <x:v>未开始</x:v>
      </x:c>
      <x:c r="G31" s="34" t="str">
        <x:v>未复核</x:v>
      </x:c>
      <x:c r="H31" s="32" t="str">
        <x:v>阶段3出口</x:v>
      </x:c>
    </x:row>
    <x:row r="32" ht="58" customHeight="1">
      <x:c r="A32" s="34" t="str">
        <x:v>阶段4：采购与交付闭环</x:v>
      </x:c>
      <x:c r="B32" s="34" t="str">
        <x:v>E4-01</x:v>
      </x:c>
      <x:c r="C32" s="32" t="str">
        <x:v>实现ERP/MRP或人工导入采购需求、来源行、版本、变更、取消和处理状态。</x:v>
      </x:c>
      <x:c r="D32" s="32" t="str">
        <x:v>E3-07；D-001</x:v>
      </x:c>
      <x:c r="E32" s="32" t="str">
        <x:v>SRM不重复执行MRP；同一外部版本幂等；旧版本不能覆盖新版本或删除已下单事实。</x:v>
      </x:c>
      <x:c r="F32" s="34" t="str">
        <x:v>未开始</x:v>
      </x:c>
      <x:c r="G32" s="34" t="str">
        <x:v>未复核</x:v>
      </x:c>
      <x:c r="H32" s="32" t="str">
        <x:v>需求入口</x:v>
      </x:c>
    </x:row>
    <x:row r="33" ht="58" customHeight="1">
      <x:c r="A33" s="34" t="str">
        <x:v>阶段4：采购与交付闭环</x:v>
      </x:c>
      <x:c r="B33" s="34" t="str">
        <x:v>E4-02</x:v>
      </x:c>
      <x:c r="C33" s="32" t="str">
        <x:v>实现供应源匹配、未覆盖数量/原因的需求缺口台账及加量、调期、替代、例外或新寻源处置。</x:v>
      </x:c>
      <x:c r="D33" s="32" t="str">
        <x:v>E4-01,E3-06</x:v>
      </x:c>
      <x:c r="E33" s="32" t="str">
        <x:v>匹配结果可解释；缺口有责任人和时限；关闭必须说明数量如何被覆盖、取消或例外处理。</x:v>
      </x:c>
      <x:c r="F33" s="34" t="str">
        <x:v>未开始</x:v>
      </x:c>
      <x:c r="G33" s="34" t="str">
        <x:v>未复核</x:v>
      </x:c>
      <x:c r="H33" s="32" t="str">
        <x:v>匹配与缺口</x:v>
      </x:c>
    </x:row>
    <x:row r="34" ht="58" customHeight="1">
      <x:c r="A34" s="34" t="str">
        <x:v>阶段4：采购与交付闭环</x:v>
      </x:c>
      <x:c r="B34" s="34" t="str">
        <x:v>E4-03</x:v>
      </x:c>
      <x:c r="C34" s="32" t="str">
        <x:v>实现考虑配额、累计量、产能、交期、MOQ/MPQ、质量风险和成本的多供应商分配推荐、确认、发布和快照。</x:v>
      </x:c>
      <x:c r="D34" s="32" t="str">
        <x:v>E4-02,E2-07</x:v>
      </x:c>
      <x:c r="E34" s="32" t="str">
        <x:v>定标份额、供应配额和实际分配分离；人工调整有原因；发布时重新校验供应源。</x:v>
      </x:c>
      <x:c r="F34" s="34" t="str">
        <x:v>未开始</x:v>
      </x:c>
      <x:c r="G34" s="34" t="str">
        <x:v>未复核</x:v>
      </x:c>
      <x:c r="H34" s="32" t="str">
        <x:v>多供应商分配</x:v>
      </x:c>
    </x:row>
    <x:row r="35" ht="58" customHeight="1">
      <x:c r="A35" s="34" t="str">
        <x:v>阶段4：采购与交付闭环</x:v>
      </x:c>
      <x:c r="B35" s="34" t="str">
        <x:v>E4-04</x:v>
      </x:c>
      <x:c r="C35" s="32" t="str">
        <x:v>按已决策模式实现采购指令/SRM原生PO或ERP正式PO生成、同步、版本和供应商发布。</x:v>
      </x:c>
      <x:c r="D35" s="32" t="str">
        <x:v>E4-03；D-001</x:v>
      </x:c>
      <x:c r="E35" s="32" t="str">
        <x:v>PO发布前最终校验供应源、依据、价格、数量和审批；接口幂等且旧版本不能响应。</x:v>
      </x:c>
      <x:c r="F35" s="34" t="str">
        <x:v>未开始</x:v>
      </x:c>
      <x:c r="G35" s="34" t="str">
        <x:v>未复核</x:v>
      </x:c>
      <x:c r="H35" s="32" t="str">
        <x:v>PO主链</x:v>
      </x:c>
    </x:row>
    <x:row r="36" ht="58" customHeight="1">
      <x:c r="A36" s="34" t="str">
        <x:v>阶段4：采购与交付闭环</x:v>
      </x:c>
      <x:c r="B36" s="34" t="str">
        <x:v>E4-05</x:v>
      </x:c>
      <x:c r="C36" s="32" t="str">
        <x:v>实现供应商按行承诺数量/交期、采购差异协商、最终确认以及PO变更、部分取消和重新确认。</x:v>
      </x:c>
      <x:c r="D36" s="32" t="str">
        <x:v>E4-04,E2-03</x:v>
      </x:c>
      <x:c r="E36" s="32" t="str">
        <x:v>供应商不能修改正式PO；承诺独立版本化；已发运/收货事实不被反向取消。</x:v>
      </x:c>
      <x:c r="F36" s="34" t="str">
        <x:v>未开始</x:v>
      </x:c>
      <x:c r="G36" s="34" t="str">
        <x:v>未复核</x:v>
      </x:c>
      <x:c r="H36" s="32" t="str">
        <x:v>订单承诺</x:v>
      </x:c>
    </x:row>
    <x:row r="37" ht="58" customHeight="1">
      <x:c r="A37" s="34" t="str">
        <x:v>阶段4：采购与交付闭环</x:v>
      </x:c>
      <x:c r="B37" s="34" t="str">
        <x:v>E4-06</x:v>
      </x:c>
      <x:c r="C37" s="32" t="str">
        <x:v>实现交付计划、可发运数量、ASN、批次/包装/标签和并发超发、重复提交控制。</x:v>
      </x:c>
      <x:c r="D37" s="32" t="str">
        <x:v>E4-05,E2-03</x:v>
      </x:c>
      <x:c r="E37" s="32" t="str">
        <x:v>ASN不能超过可发运量及容差；失败不占额度；包装合计与ASN一致。</x:v>
      </x:c>
      <x:c r="F37" s="34" t="str">
        <x:v>未开始</x:v>
      </x:c>
      <x:c r="G37" s="34" t="str">
        <x:v>未复核</x:v>
      </x:c>
      <x:c r="H37" s="32" t="str">
        <x:v>ASN发运</x:v>
      </x:c>
    </x:row>
    <x:row r="38" ht="58" customHeight="1">
      <x:c r="A38" s="34" t="str">
        <x:v>阶段4：采购与交付闭环</x:v>
      </x:c>
      <x:c r="B38" s="34" t="str">
        <x:v>E4-07</x:v>
      </x:c>
      <x:c r="C38" s="32" t="str">
        <x:v>实现发运在途、预约、到货/收货结果、短少/超收/拒收/破损，以及退货、补货和交付异常闭环。</x:v>
      </x:c>
      <x:c r="D38" s="32" t="str">
        <x:v>E4-06；D-001</x:v>
      </x:c>
      <x:c r="E38" s="32" t="str">
        <x:v>PO-ASN-收货数量可追溯；异常有责任、期限、证据和结论，并正确影响后续结算。</x:v>
      </x:c>
      <x:c r="F38" s="34" t="str">
        <x:v>未开始</x:v>
      </x:c>
      <x:c r="G38" s="34" t="str">
        <x:v>未复核</x:v>
      </x:c>
      <x:c r="H38" s="32" t="str">
        <x:v>收货异常</x:v>
      </x:c>
    </x:row>
    <x:row r="39" ht="58" customHeight="1">
      <x:c r="A39" s="34" t="str">
        <x:v>阶段4：采购与交付闭环</x:v>
      </x:c>
      <x:c r="B39" s="34" t="str">
        <x:v>E4-08</x:v>
      </x:c>
      <x:c r="C39" s="32" t="str">
        <x:v>执行已有供应源的需求接收、匹配、分配、PO、确认、ASN、收货和退货端到端验收。</x:v>
      </x:c>
      <x:c r="D39" s="32" t="str">
        <x:v>E4-01至E4-07</x:v>
      </x:c>
      <x:c r="E39" s="32" t="str">
        <x:v>覆盖部分缺口、多供应商、拒绝PO、晚交、超发、重复ASN、短收和旧版本等用例。</x:v>
      </x:c>
      <x:c r="F39" s="34" t="str">
        <x:v>未开始</x:v>
      </x:c>
      <x:c r="G39" s="34" t="str">
        <x:v>未复核</x:v>
      </x:c>
      <x:c r="H39" s="32" t="str">
        <x:v>阶段4出口</x:v>
      </x:c>
    </x:row>
    <x:row r="40" ht="58" customHeight="1">
      <x:c r="A40" s="34" t="str">
        <x:v>阶段5：质量与结算闭环</x:v>
      </x:c>
      <x:c r="B40" s="34" t="str">
        <x:v>E5-01</x:v>
      </x:c>
      <x:c r="C40" s="32" t="str">
        <x:v>实现供应商质量审核模板、计划、审核组、检查项、发现、整改、复核和结论。</x:v>
      </x:c>
      <x:c r="D40" s="32" t="str">
        <x:v>E4-08；D-006</x:v>
      </x:c>
      <x:c r="E40" s="32" t="str">
        <x:v>重大不符合可触发准入/供应源限制；审核证据、整改责任和复核结论可追溯。</x:v>
      </x:c>
      <x:c r="F40" s="34" t="str">
        <x:v>未开始</x:v>
      </x:c>
      <x:c r="G40" s="34" t="str">
        <x:v>未复核</x:v>
      </x:c>
      <x:c r="H40" s="32" t="str">
        <x:v>质量审核</x:v>
      </x:c>
    </x:row>
    <x:row r="41" ht="58" customHeight="1">
      <x:c r="A41" s="34" t="str">
        <x:v>阶段5：质量与结算闭环</x:v>
      </x:c>
      <x:c r="B41" s="34" t="str">
        <x:v>E5-02</x:v>
      </x:c>
      <x:c r="C41" s="32" t="str">
        <x:v>实现物料资格模板、技术评审、样件/试制、量产认可、有效范围和资格版本。</x:v>
      </x:c>
      <x:c r="D41" s="32" t="str">
        <x:v>E5-01,E2-07</x:v>
      </x:c>
      <x:c r="E41" s="32" t="str">
        <x:v>主体准入不能替代物料资格；试制成功不自动取得量产资格；失效触发供应源影响评估。</x:v>
      </x:c>
      <x:c r="F41" s="34" t="str">
        <x:v>未开始</x:v>
      </x:c>
      <x:c r="G41" s="34" t="str">
        <x:v>未复核</x:v>
      </x:c>
      <x:c r="H41" s="32" t="str">
        <x:v>物料资格</x:v>
      </x:c>
    </x:row>
    <x:row r="42" ht="58" customHeight="1">
      <x:c r="A42" s="34" t="str">
        <x:v>阶段5：质量与结算闭环</x:v>
      </x:c>
      <x:c r="B42" s="34" t="str">
        <x:v>E5-03</x:v>
      </x:c>
      <x:c r="C42" s="32" t="str">
        <x:v>实现供应商工程/过程变更审批，以及QMS/ERP或人工录入IQC检验结果、批次、不良代码和版本更正。</x:v>
      </x:c>
      <x:c r="D42" s="32" t="str">
        <x:v>E5-02,E4-07</x:v>
      </x:c>
      <x:c r="E42" s="32" t="str">
        <x:v>未批准关键变更可限制发运；供应商不能修改采购方检验事实；重复和更正采用版本。</x:v>
      </x:c>
      <x:c r="F42" s="34" t="str">
        <x:v>未开始</x:v>
      </x:c>
      <x:c r="G42" s="34" t="str">
        <x:v>未复核</x:v>
      </x:c>
      <x:c r="H42" s="32" t="str">
        <x:v>变更与IQC</x:v>
      </x:c>
    </x:row>
    <x:row r="43" ht="58" customHeight="1">
      <x:c r="A43" s="34" t="str">
        <x:v>阶段5：质量与结算闭环</x:v>
      </x:c>
      <x:c r="B43" s="34" t="str">
        <x:v>E5-04</x:v>
      </x:c>
      <x:c r="C43" s="32" t="str">
        <x:v>实现质量异常、责任分派、隔离、筛选、返工、退货、报废、补货和特采让步。</x:v>
      </x:c>
      <x:c r="D43" s="32" t="str">
        <x:v>E5-03,E1-04</x:v>
      </x:c>
      <x:c r="E43" s="32" t="str">
        <x:v>处置数量不重复扣减；重大问题可立即限制供应源；特采限批次、数量、用途和期限。</x:v>
      </x:c>
      <x:c r="F43" s="34" t="str">
        <x:v>未开始</x:v>
      </x:c>
      <x:c r="G43" s="34" t="str">
        <x:v>未复核</x:v>
      </x:c>
      <x:c r="H43" s="32" t="str">
        <x:v>异常处置</x:v>
      </x:c>
    </x:row>
    <x:row r="44" ht="58" customHeight="1">
      <x:c r="A44" s="34" t="str">
        <x:v>阶段5：质量与结算闭环</x:v>
      </x:c>
      <x:c r="B44" s="34" t="str">
        <x:v>E5-05</x:v>
      </x:c>
      <x:c r="C44" s="32" t="str">
        <x:v>实现SCAR/8D、根因措施、证据、复验、有效性验证，以及资格/供应源限制、恢复和开放订单评估。</x:v>
      </x:c>
      <x:c r="D44" s="32" t="str">
        <x:v>E5-04,E2-03</x:v>
      </x:c>
      <x:c r="E44" s="32" t="str">
        <x:v>无验证证据不能关闭；无效措施可重开；限制只影响新业务并列出开放订单处置。</x:v>
      </x:c>
      <x:c r="F44" s="34" t="str">
        <x:v>未开始</x:v>
      </x:c>
      <x:c r="G44" s="34" t="str">
        <x:v>未复核</x:v>
      </x:c>
      <x:c r="H44" s="32" t="str">
        <x:v>整改联动</x:v>
      </x:c>
    </x:row>
    <x:row r="45" ht="58" customHeight="1">
      <x:c r="A45" s="34" t="str">
        <x:v>阶段5：质量与结算闭环</x:v>
      </x:c>
      <x:c r="B45" s="34" t="str">
        <x:v>E5-06</x:v>
      </x:c>
      <x:c r="C45" s="32" t="str">
        <x:v>实现周期对账单、PO-收货-质量/退货-发票匹配、价格/数量/税费/扣款差异分派与处理。</x:v>
      </x:c>
      <x:c r="D45" s="32" t="str">
        <x:v>E5-03至E5-05；D-007</x:v>
      </x:c>
      <x:c r="E45" s="32" t="str">
        <x:v>生成时保存权威事实快照；质量和退货正确影响可结算数量；差异追溯到原始事实。</x:v>
      </x:c>
      <x:c r="F45" s="34" t="str">
        <x:v>未开始</x:v>
      </x:c>
      <x:c r="G45" s="34" t="str">
        <x:v>未复核</x:v>
      </x:c>
      <x:c r="H45" s="32" t="str">
        <x:v>对账主链</x:v>
      </x:c>
    </x:row>
    <x:row r="46" ht="58" customHeight="1">
      <x:c r="A46" s="34" t="str">
        <x:v>阶段5：质量与结算闭环</x:v>
      </x:c>
      <x:c r="B46" s="34" t="str">
        <x:v>E5-07</x:v>
      </x:c>
      <x:c r="C46" s="32" t="str">
        <x:v>实现供应商对账确认/异议、发票与请款材料协同，以及ERP应付和付款状态回传。</x:v>
      </x:c>
      <x:c r="D46" s="32" t="str">
        <x:v>E5-06,E2-03；D-007</x:v>
      </x:c>
      <x:c r="E46" s="32" t="str">
        <x:v>供应商仅见自身明细；一致版本不可覆盖；对账一致、应付确认和付款完成状态分离。</x:v>
      </x:c>
      <x:c r="F46" s="34" t="str">
        <x:v>未开始</x:v>
      </x:c>
      <x:c r="G46" s="34" t="str">
        <x:v>未复核</x:v>
      </x:c>
      <x:c r="H46" s="32" t="str">
        <x:v>结算协同</x:v>
      </x:c>
    </x:row>
    <x:row r="47" ht="58" customHeight="1">
      <x:c r="A47" s="34" t="str">
        <x:v>阶段5：质量与结算闭环</x:v>
      </x:c>
      <x:c r="B47" s="34" t="str">
        <x:v>E5-08</x:v>
      </x:c>
      <x:c r="C47" s="32" t="str">
        <x:v>执行IQC不合格、退货、8D、复验、供应源限制、对账差异、发票和付款回传端到端验收。</x:v>
      </x:c>
      <x:c r="D47" s="32" t="str">
        <x:v>E5-01至E5-07</x:v>
      </x:c>
      <x:c r="E47" s="32" t="str">
        <x:v>覆盖特采、重复检验、质量扣款、差异重开、未付款误显示和供应商越权等用例。</x:v>
      </x:c>
      <x:c r="F47" s="34" t="str">
        <x:v>未开始</x:v>
      </x:c>
      <x:c r="G47" s="34" t="str">
        <x:v>未复核</x:v>
      </x:c>
      <x:c r="H47" s="32" t="str">
        <x:v>阶段5出口</x:v>
      </x:c>
    </x:row>
    <x:row r="48" ht="58" customHeight="1">
      <x:c r="A48" s="34" t="str">
        <x:v>阶段6：绩效风险与上线</x:v>
      </x:c>
      <x:c r="B48" s="34" t="str">
        <x:v>E6-01</x:v>
      </x:c>
      <x:c r="C48" s="32" t="str">
        <x:v>定义交付、质量、响应、对账、准入和双供等绩效指标口径，聚合事实并配置评分权重、评级和一票否决。</x:v>
      </x:c>
      <x:c r="D48" s="32" t="str">
        <x:v>E4-08,E5-08</x:v>
      </x:c>
      <x:c r="E48" s="32" t="str">
        <x:v>指标可钻取权威事实；缺失/异常样本可识别；模型按品类/供应商类型版本化。</x:v>
      </x:c>
      <x:c r="F48" s="34" t="str">
        <x:v>未开始</x:v>
      </x:c>
      <x:c r="G48" s="34" t="str">
        <x:v>未复核</x:v>
      </x:c>
      <x:c r="H48" s="32" t="str">
        <x:v>绩效模型</x:v>
      </x:c>
    </x:row>
    <x:row r="49" ht="58" customHeight="1">
      <x:c r="A49" s="34" t="str">
        <x:v>阶段6：绩效风险与上线</x:v>
      </x:c>
      <x:c r="B49" s="34" t="str">
        <x:v>E6-02</x:v>
      </x:c>
      <x:c r="C49" s="32" t="str">
        <x:v>实现评分周期计算、抽样复核、审批发布、供应商可见范围、历史版本和申诉更正。</x:v>
      </x:c>
      <x:c r="D49" s="32" t="str">
        <x:v>E6-01,E2-03</x:v>
      </x:c>
      <x:c r="E49" s="32" t="str">
        <x:v>已发布评分不能覆盖；更正保留原版本和原因；内部排名和敏感成本不对供应商公开。</x:v>
      </x:c>
      <x:c r="F49" s="34" t="str">
        <x:v>未开始</x:v>
      </x:c>
      <x:c r="G49" s="34" t="str">
        <x:v>未复核</x:v>
      </x:c>
      <x:c r="H49" s="32" t="str">
        <x:v>评分发布</x:v>
      </x:c>
    </x:row>
    <x:row r="50" ht="58" customHeight="1">
      <x:c r="A50" s="34" t="str">
        <x:v>阶段6：绩效风险与上线</x:v>
      </x:c>
      <x:c r="B50" s="34" t="str">
        <x:v>E6-03</x:v>
      </x:c>
      <x:c r="C50" s="32" t="str">
        <x:v>实现供应风险目录、事件预警/升级、供应商改善计划，以及份额调整、限制、冻结、淘汰或恢复决策。</x:v>
      </x:c>
      <x:c r="D50" s="32" t="str">
        <x:v>E6-01,E6-02</x:v>
      </x:c>
      <x:c r="E50" s="32" t="str">
        <x:v>风险可钻取事实；改善关闭有量化证据；供应决策经审批且不改历史事实。</x:v>
      </x:c>
      <x:c r="F50" s="34" t="str">
        <x:v>未开始</x:v>
      </x:c>
      <x:c r="G50" s="34" t="str">
        <x:v>未复核</x:v>
      </x:c>
      <x:c r="H50" s="32" t="str">
        <x:v>风险治理</x:v>
      </x:c>
    </x:row>
    <x:row r="51" ht="58" customHeight="1">
      <x:c r="A51" s="34" t="str">
        <x:v>阶段6：绩效风险与上线</x:v>
      </x:c>
      <x:c r="B51" s="34" t="str">
        <x:v>E6-04</x:v>
      </x:c>
      <x:c r="C51" s="32" t="str">
        <x:v>实现供应配额版本、累计执行反馈和关键物料第二供应源计划，关联寻源、试制与转化进度。</x:v>
      </x:c>
      <x:c r="D51" s="32" t="str">
        <x:v>E6-03,E4-03,E3-01</x:v>
      </x:c>
      <x:c r="E51" s="32" t="str">
        <x:v>配额与定标份额/实际分配分离；双供覆盖只统计两个及以上有效正式供应源。</x:v>
      </x:c>
      <x:c r="F51" s="34" t="str">
        <x:v>未开始</x:v>
      </x:c>
      <x:c r="G51" s="34" t="str">
        <x:v>未复核</x:v>
      </x:c>
      <x:c r="H51" s="32" t="str">
        <x:v>配额与双供</x:v>
      </x:c>
    </x:row>
    <x:row r="52" ht="58" customHeight="1">
      <x:c r="A52" s="34" t="str">
        <x:v>阶段6：绩效风险与上线</x:v>
      </x:c>
      <x:c r="B52" s="34" t="str">
        <x:v>E6-05</x:v>
      </x:c>
      <x:c r="C52" s="32" t="str">
        <x:v>完成管理工作台，并执行已有源、新供应商NPI、年度议价、紧急采购、质量异常、冻结和对账差异等全链路及非功能验收。</x:v>
      </x:c>
      <x:c r="D52" s="32" t="str">
        <x:v>E6-01至E6-04</x:v>
      </x:c>
      <x:c r="E52" s="32" t="str">
        <x:v>指标可钻取且有数据时间；上述场景、权限隔离、安全、性能、审计和恢复演练全部通过。</x:v>
      </x:c>
      <x:c r="F52" s="34" t="str">
        <x:v>未开始</x:v>
      </x:c>
      <x:c r="G52" s="34" t="str">
        <x:v>未复核</x:v>
      </x:c>
      <x:c r="H52" s="32" t="str">
        <x:v>总体验收</x:v>
      </x:c>
    </x:row>
    <x:row r="53" ht="58" customHeight="1">
      <x:c r="A53" s="34" t="str">
        <x:v>阶段6：绩效风险与上线</x:v>
      </x:c>
      <x:c r="B53" s="34" t="str">
        <x:v>E6-06</x:v>
      </x:c>
      <x:c r="C53" s="32" t="str">
        <x:v>完成主数据/供应源清洗、用户角色、配置、培训、切换/回退演练、生产发布、上线验证和稳定期复盘。</x:v>
      </x:c>
      <x:c r="D53" s="32" t="str">
        <x:v>E6-05</x:v>
      </x:c>
      <x:c r="E53" s="32" t="str">
        <x:v>只迁移有证据数据；发布与回退清单完整；正式环境核心链路可用且重大问题有处置方案。</x:v>
      </x:c>
      <x:c r="F53" s="34" t="str">
        <x:v>未开始</x:v>
      </x:c>
      <x:c r="G53" s="34" t="str">
        <x:v>未复核</x:v>
      </x:c>
      <x:c r="H53" s="32" t="str">
        <x:v>V1.0上线</x:v>
      </x:c>
    </x:row>
  </x:sheetData>
  <x:mergeCells>
    <x:mergeCell ref="A1:H1"/>
    <x:mergeCell ref="A2:H2"/>
    <x:mergeCell ref="A3:B3"/>
    <x:mergeCell ref="C3:D3"/>
    <x:mergeCell ref="E3:F3"/>
    <x:mergeCell ref="G3:H3"/>
  </x:mergeCells>
  <x:conditionalFormatting sqref="F6:F53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受阻"/>
  </x:conditionalFormatting>
  <x:conditionalFormatting sqref="G6:G53">
    <x:cfRule type="containsText" dxfId="3" priority="4" operator="containsText" text="通过"/>
    <x:cfRule type="containsText" dxfId="4" priority="5" operator="containsText" text="复核中"/>
    <x:cfRule type="containsText" dxfId="5" priority="6" operator="containsText" text="需整改"/>
    <x:cfRule type="containsText" dxfId="6" priority="7" operator="containsText" text="未复核"/>
  </x:conditionalFormatting>
  <x:conditionalFormatting sqref="A6:A53">
    <x:cfRule type="containsText" dxfId="7" priority="8" operator="containsText" text="阶段0"/>
    <x:cfRule type="containsText" dxfId="8" priority="9" operator="containsText" text="阶段1"/>
    <x:cfRule type="containsText" dxfId="9" priority="10" operator="containsText" text="阶段2"/>
    <x:cfRule type="containsText" dxfId="10" priority="11" operator="containsText" text="阶段3"/>
    <x:cfRule type="containsText" dxfId="11" priority="12" operator="containsText" text="阶段4"/>
    <x:cfRule type="containsText" dxfId="12" priority="13" operator="containsText" text="阶段5"/>
    <x:cfRule type="containsText" dxfId="13" priority="14" operator="containsText" text="阶段6"/>
  </x:conditionalFormatting>
  <x:dataValidations count="2">
    <x:dataValidation type="list" sqref="F6:F53">
      <x:formula1>"未开始,进行中,已完成,受阻,已取消"</x:formula1>
    </x:dataValidation>
    <x:dataValidation type="list" sqref="G6:G53">
      <x:formula1>"未复核,复核中,通过,需整改,不适用"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998239445c4e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50" hidden="0" customWidth="1"/>
    <x:col min="4" max="4" width="16" hidden="0" customWidth="1"/>
    <x:col min="5" max="5" width="12" hidden="0" customWidth="1"/>
    <x:col min="6" max="6" width="42" hidden="0" customWidth="1"/>
    <x:col min="7" max="7" width="22" hidden="0" customWidth="1"/>
    <x:col min="8" max="8" width="24" hidden="0" customWidth="1"/>
  </x:cols>
  <x:sheetData>
    <x:row r="1" ht="34" customHeight="1">
      <x:c r="A1" s="4" t="str">
        <x:v>SRM V1.0 问题与决策记录</x:v>
      </x:c>
      <x:c r="B1" s="4" t="str">
        <x:v>SRM V1.0 问题与决策记录</x:v>
      </x:c>
      <x:c r="C1" s="4" t="str">
        <x:v>SRM V1.0 问题与决策记录</x:v>
      </x:c>
      <x:c r="D1" s="4" t="str">
        <x:v>SRM V1.0 问题与决策记录</x:v>
      </x:c>
      <x:c r="E1" s="4" t="str">
        <x:v>SRM V1.0 问题与决策记录</x:v>
      </x:c>
      <x:c r="F1" s="4" t="str">
        <x:v>SRM V1.0 问题与决策记录</x:v>
      </x:c>
      <x:c r="G1" s="4" t="str">
        <x:v>SRM V1.0 问题与决策记录</x:v>
      </x:c>
      <x:c r="H1" s="4" t="str">
        <x:v>SRM V1.0 问题与决策记录</x:v>
      </x:c>
    </x:row>
    <x:row r="2" ht="24" customHeight="1">
      <x:c r="A2" s="8" t="str">
        <x:v>本表只记录会改变范围、模型、系统边界或阶段顺序的事项；普通开发问题放入对应任务备注。</x:v>
      </x:c>
      <x:c r="B2" s="8" t="str">
        <x:v>本表只记录会改变范围、模型、系统边界或阶段顺序的事项；普通开发问题放入对应任务备注。</x:v>
      </x:c>
      <x:c r="C2" s="8" t="str">
        <x:v>本表只记录会改变范围、模型、系统边界或阶段顺序的事项；普通开发问题放入对应任务备注。</x:v>
      </x:c>
      <x:c r="D2" s="8" t="str">
        <x:v>本表只记录会改变范围、模型、系统边界或阶段顺序的事项；普通开发问题放入对应任务备注。</x:v>
      </x:c>
      <x:c r="E2" s="8" t="str">
        <x:v>本表只记录会改变范围、模型、系统边界或阶段顺序的事项；普通开发问题放入对应任务备注。</x:v>
      </x:c>
      <x:c r="F2" s="8" t="str">
        <x:v>本表只记录会改变范围、模型、系统边界或阶段顺序的事项；普通开发问题放入对应任务备注。</x:v>
      </x:c>
      <x:c r="G2" s="8" t="str">
        <x:v>本表只记录会改变范围、模型、系统边界或阶段顺序的事项；普通开发问题放入对应任务备注。</x:v>
      </x:c>
      <x:c r="H2" s="8" t="str">
        <x:v>本表只记录会改变范围、模型、系统边界或阶段顺序的事项；普通开发问题放入对应任务备注。</x:v>
      </x:c>
    </x:row>
    <x:row r="3">
      <x:c r="A3" s="56"/>
      <x:c r="B3" s="56"/>
      <x:c r="C3" s="56"/>
      <x:c r="D3" s="56"/>
      <x:c r="E3" s="56"/>
      <x:c r="F3" s="56"/>
      <x:c r="G3" s="56"/>
      <x:c r="H3" s="56"/>
    </x:row>
    <x:row r="4" ht="28" customHeight="1">
      <x:c r="A4" s="25" t="str">
        <x:v>决策编号</x:v>
      </x:c>
      <x:c r="B4" s="25" t="str">
        <x:v>问题/事项</x:v>
      </x:c>
      <x:c r="C4" s="25" t="str">
        <x:v>建议基线</x:v>
      </x:c>
      <x:c r="D4" s="25" t="str">
        <x:v>最晚确认阶段</x:v>
      </x:c>
      <x:c r="E4" s="25" t="str">
        <x:v>状态</x:v>
      </x:c>
      <x:c r="F4" s="25" t="str">
        <x:v>最终结论</x:v>
      </x:c>
      <x:c r="G4" s="25" t="str">
        <x:v>影响任务</x:v>
      </x:c>
      <x:c r="H4" s="25" t="str">
        <x:v>备注</x:v>
      </x:c>
    </x:row>
    <x:row r="5" ht="60" customHeight="1">
      <x:c r="A5" s="33" t="str">
        <x:v>D-001</x:v>
      </x:c>
      <x:c r="B5" s="31" t="str">
        <x:v>正式PO权威源</x:v>
      </x:c>
      <x:c r="C5" s="31" t="str">
        <x:v>个人项目首期采用SRM原生PO过渡模式，同时保留source_system、external_id和版本，未来可切换ERP权威。</x:v>
      </x:c>
      <x:c r="D5" s="33" t="str">
        <x:v>阶段0</x:v>
      </x:c>
      <x:c r="E5" s="33" t="str">
        <x:v>待确认</x:v>
      </x:c>
      <x:c r="F5" s="31" t="str"/>
      <x:c r="G5" s="31" t="str">
        <x:v>E0-04,E4-01,E4-04</x:v>
      </x:c>
      <x:c r="H5" s="31" t="str"/>
    </x:row>
    <x:row r="6" ht="60" customHeight="1">
      <x:c r="A6" s="34" t="str">
        <x:v>D-002</x:v>
      </x:c>
      <x:c r="B6" s="32" t="str">
        <x:v>V1.0行业深度</x:v>
      </x:c>
      <x:c r="C6" s="32" t="str">
        <x:v>首期采用通用制造的技术评审、样件、试制和量产认可；完整APQP/PPAP列入后续专题。</x:v>
      </x:c>
      <x:c r="D6" s="34" t="str">
        <x:v>阶段0</x:v>
      </x:c>
      <x:c r="E6" s="34" t="str">
        <x:v>已确认</x:v>
      </x:c>
      <x:c r="F6" s="32" t="str">
        <x:v>按V1.0蓝图执行</x:v>
      </x:c>
      <x:c r="G6" s="32" t="str">
        <x:v>E5-01至E5-02</x:v>
      </x:c>
      <x:c r="H6" s="32" t="str"/>
    </x:row>
    <x:row r="7" ht="60" customHeight="1">
      <x:c r="A7" s="34" t="str">
        <x:v>D-003</x:v>
      </x:c>
      <x:c r="B7" s="32" t="str">
        <x:v>组织与数据域</x:v>
      </x:c>
      <x:c r="C7" s="32" t="str">
        <x:v>沿用集团→公司→事业部→工厂，并增加采购组织、品类、供应商和本人等数据范围。</x:v>
      </x:c>
      <x:c r="D7" s="34" t="str">
        <x:v>阶段0</x:v>
      </x:c>
      <x:c r="E7" s="34" t="str">
        <x:v>已确认</x:v>
      </x:c>
      <x:c r="F7" s="32" t="str">
        <x:v>按V1.0蓝图执行</x:v>
      </x:c>
      <x:c r="G7" s="32" t="str">
        <x:v>E1-02,E1-03,E1-06</x:v>
      </x:c>
      <x:c r="H7" s="32" t="str"/>
    </x:row>
    <x:row r="8" ht="60" customHeight="1">
      <x:c r="A8" s="34" t="str">
        <x:v>D-004</x:v>
      </x:c>
      <x:c r="B8" s="32" t="str">
        <x:v>供应商准入策略</x:v>
      </x:c>
      <x:c r="C8" s="32" t="str">
        <x:v>按低/中/高风险分层；新供应商先最低预审参与寻源，中选后完成正式交易准入。</x:v>
      </x:c>
      <x:c r="D8" s="34" t="str">
        <x:v>阶段1前</x:v>
      </x:c>
      <x:c r="E8" s="34" t="str">
        <x:v>待确认</x:v>
      </x:c>
      <x:c r="F8" s="32" t="str"/>
      <x:c r="G8" s="32" t="str">
        <x:v>E2-01,E2-05,E3-01</x:v>
      </x:c>
      <x:c r="H8" s="32" t="str"/>
    </x:row>
    <x:row r="9" ht="60" customHeight="1">
      <x:c r="A9" s="34" t="str">
        <x:v>D-005</x:v>
      </x:c>
      <x:c r="B9" s="32" t="str">
        <x:v>采购依据政策</x:v>
      </x:c>
      <x:c r="C9" s="32" t="str">
        <x:v>关键/定制/高金额要求合同；标准低风险可采用批准PO条款；试制和紧急路径限量限期。</x:v>
      </x:c>
      <x:c r="D9" s="34" t="str">
        <x:v>阶段2前</x:v>
      </x:c>
      <x:c r="E9" s="34" t="str">
        <x:v>待确认</x:v>
      </x:c>
      <x:c r="F9" s="32" t="str"/>
      <x:c r="G9" s="32" t="str">
        <x:v>E3-05,E3-06,E4-04</x:v>
      </x:c>
      <x:c r="H9" s="32" t="str"/>
    </x:row>
    <x:row r="10" ht="60" customHeight="1">
      <x:c r="A10" s="34" t="str">
        <x:v>D-006</x:v>
      </x:c>
      <x:c r="B10" s="32" t="str">
        <x:v>质量权威边界</x:v>
      </x:c>
      <x:c r="C10" s="32" t="str">
        <x:v>SRM管理资格与异常协同；V1.0同时支持IQC接口和人工模拟录入。</x:v>
      </x:c>
      <x:c r="D10" s="34" t="str">
        <x:v>阶段3前</x:v>
      </x:c>
      <x:c r="E10" s="34" t="str">
        <x:v>待确认</x:v>
      </x:c>
      <x:c r="F10" s="32" t="str"/>
      <x:c r="G10" s="32" t="str">
        <x:v>E5-01至E5-05</x:v>
      </x:c>
      <x:c r="H10" s="32" t="str"/>
    </x:row>
    <x:row r="11" ht="60" customHeight="1">
      <x:c r="A11" s="34" t="str">
        <x:v>D-007</x:v>
      </x:c>
      <x:c r="B11" s="32" t="str">
        <x:v>结算权威边界</x:v>
      </x:c>
      <x:c r="C11" s="32" t="str">
        <x:v>SRM负责对账协同；ERP/财务保留应付和付款权威，按月执行四单匹配。</x:v>
      </x:c>
      <x:c r="D11" s="34" t="str">
        <x:v>阶段4前</x:v>
      </x:c>
      <x:c r="E11" s="34" t="str">
        <x:v>待确认</x:v>
      </x:c>
      <x:c r="F11" s="32" t="str"/>
      <x:c r="G11" s="32" t="str">
        <x:v>E5-06,E5-07</x:v>
      </x:c>
      <x:c r="H11" s="32" t="str"/>
    </x:row>
    <x:row r="12" ht="60" customHeight="1">
      <x:c r="A12" s="34" t="str">
        <x:v>D-008</x:v>
      </x:c>
      <x:c r="B12" s="32" t="str">
        <x:v>电子签署</x:v>
      </x:c>
      <x:c r="C12" s="32" t="str">
        <x:v>V1.0只保存合同元数据、版本和签署附件；电子签平台作为后续专题。</x:v>
      </x:c>
      <x:c r="D12" s="34" t="str">
        <x:v>阶段2前</x:v>
      </x:c>
      <x:c r="E12" s="34" t="str">
        <x:v>待确认</x:v>
      </x:c>
      <x:c r="F12" s="32" t="str"/>
      <x:c r="G12" s="32" t="str">
        <x:v>E3-05</x:v>
      </x:c>
      <x:c r="H12" s="32" t="str"/>
    </x:row>
    <x:row r="13" ht="60" customHeight="1">
      <x:c r="A13" s="34" t="str">
        <x:v>D-009</x:v>
      </x:c>
      <x:c r="B13" s="32" t="str">
        <x:v>部署目标</x:v>
      </x:c>
      <x:c r="C13" s="32" t="str">
        <x:v>一台服务器部署SRM正式环境，采用模块化单体、MySQL和Docker Compose，本地构建后上传部署。</x:v>
      </x:c>
      <x:c r="D13" s="34" t="str">
        <x:v>阶段0</x:v>
      </x:c>
      <x:c r="E13" s="34" t="str">
        <x:v>已确认</x:v>
      </x:c>
      <x:c r="F13" s="32" t="str">
        <x:v>按既定部署策略执行</x:v>
      </x:c>
      <x:c r="G13" s="32" t="str">
        <x:v>E0-04,E1-01,E6-06</x:v>
      </x:c>
      <x:c r="H13" s="32" t="str"/>
    </x:row>
    <x:row r="14" ht="60" customHeight="1">
      <x:c r="A14" s="34" t="str">
        <x:v>D-010</x:v>
      </x:c>
      <x:c r="B14" s="32" t="str">
        <x:v>旧系统数据与代码复用</x:v>
      </x:c>
      <x:c r="C14" s="32" t="str">
        <x:v>旧SCM只作代码和经验参考；仅迁移清洗后的主数据及有证据的供应源，不迁移旧业务结构。</x:v>
      </x:c>
      <x:c r="D14" s="34" t="str">
        <x:v>阶段1前</x:v>
      </x:c>
      <x:c r="E14" s="34" t="str">
        <x:v>已确认</x:v>
      </x:c>
      <x:c r="F14" s="32" t="str">
        <x:v>新建SRM，旧SCM不作为业务基线</x:v>
      </x:c>
      <x:c r="G14" s="32" t="str">
        <x:v>E0-01,E1-06,E2-07,E6-06</x:v>
      </x:c>
      <x:c r="H14" s="32" t="str"/>
    </x:row>
  </x:sheetData>
  <x:mergeCells>
    <x:mergeCell ref="A1:H1"/>
    <x:mergeCell ref="A2:H2"/>
  </x:mergeCells>
  <x:conditionalFormatting sqref="E5:E14">
    <x:cfRule type="containsText" dxfId="17" priority="1" operator="containsText" text="已确认"/>
    <x:cfRule type="containsText" dxfId="18" priority="2" operator="containsText" text="确认中"/>
    <x:cfRule type="containsText" dxfId="19" priority="3" operator="containsText" text="待确认"/>
    <x:cfRule type="containsText" dxfId="20" priority="4" operator="containsText" text="已废止"/>
  </x:conditionalFormatting>
  <x:dataValidations count="1">
    <x:dataValidation type="list" sqref="E5:E14">
      <x:formula1>"待确认,确认中,已确认,已废止"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d8391ffb414ccc"/>
  </x:tableParts>
</x:worksheet>
</file>