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f24bca8c3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e6d673f85fc343e6"/>
    <x:sheet xmlns:r="http://schemas.openxmlformats.org/officeDocument/2006/relationships" name="阶段总览" sheetId="2" r:id="R419c531ee7d449a9"/>
    <x:sheet xmlns:r="http://schemas.openxmlformats.org/officeDocument/2006/relationships" name="开发任务总表" sheetId="3" r:id="Red121c2adf844374"/>
    <x:sheet xmlns:r="http://schemas.openxmlformats.org/officeDocument/2006/relationships" name="模块阶段映射" sheetId="4" r:id="Rf6ac0a6b49684978"/>
    <x:sheet xmlns:r="http://schemas.openxmlformats.org/officeDocument/2006/relationships" name="关口与验收" sheetId="5" r:id="R7b1d5352a302444a"/>
    <x:sheet xmlns:r="http://schemas.openxmlformats.org/officeDocument/2006/relationships" name="待决策事项" sheetId="6" r:id="R2fa11e36f30047d2"/>
    <x:sheet xmlns:r="http://schemas.openxmlformats.org/officeDocument/2006/relationships" name="填报字典" sheetId="7" r:id="Rb7aeee7246a8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2">
    <x:font>
      <x:sz val="11"/>
      <x:name val="Carlito"/>
    </x:font>
    <x:font>
      <x:b/>
      <x:sz val="20"/>
      <x:color rgb="FFFFFFFF"/>
      <x:name val="PingFang SC"/>
    </x:font>
    <x:font>
      <x:sz val="10"/>
      <x:color rgb="FFEAF2F8"/>
      <x:name val="PingFang SC"/>
    </x:font>
    <x:font>
      <x:sz val="9"/>
      <x:color rgb="FF52606D"/>
      <x:name val="PingFang SC"/>
    </x:font>
    <x:font>
      <x:b/>
      <x:sz val="10"/>
      <x:color rgb="FFFFFFFF"/>
      <x:name val="PingFang SC"/>
    </x:font>
    <x:font>
      <x:sz val="9"/>
      <x:color rgb="FF263238"/>
      <x:name val="PingFang SC"/>
    </x:font>
    <x:font>
      <x:b/>
      <x:sz val="11"/>
      <x:color rgb="FF52606D"/>
      <x:name val="PingFang SC"/>
    </x:font>
    <x:font>
      <x:sz val="11"/>
      <x:color rgb="FF263238"/>
      <x:name val="PingFang SC"/>
    </x:font>
    <x:font>
      <x:b/>
      <x:sz val="10"/>
      <x:color rgb="FF52606D"/>
      <x:name val="PingFang SC"/>
    </x:font>
    <x:font>
      <x:b/>
      <x:sz val="18"/>
      <x:color rgb="FF16324F"/>
      <x:name val="PingFang SC"/>
    </x:font>
    <x:font>
      <x:b/>
      <x:sz val="10"/>
      <x:color rgb="FFB7791F"/>
      <x:name val="PingFang SC"/>
    </x:font>
    <x:font>
      <x:sz val="11"/>
      <x:name val="PingFang SC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4B6B"/>
      </x:patternFill>
    </x:fill>
    <x:fill>
      <x:patternFill patternType="solid">
        <x:fgColor rgb="FFF5F7F9"/>
      </x:patternFill>
    </x:fill>
    <x:fill>
      <x:patternFill patternType="solid">
        <x:fgColor rgb="FF0F766E"/>
      </x:patternFill>
    </x:fill>
    <x:fill>
      <x:patternFill patternType="solid">
        <x:fgColor rgb="FFEAF2FF"/>
      </x:patternFill>
    </x:fill>
    <x:fill>
      <x:patternFill patternType="solid">
        <x:fgColor rgb="FFEAF6EC"/>
      </x:patternFill>
    </x:fill>
    <x:fill>
      <x:patternFill patternType="solid">
        <x:fgColor rgb="FFF2ECFA"/>
      </x:patternFill>
    </x:fill>
    <x:fill>
      <x:patternFill patternType="solid">
        <x:fgColor rgb="FFFDECEC"/>
      </x:patternFill>
    </x:fill>
    <x:fill>
      <x:patternFill patternType="solid">
        <x:fgColor rgb="FFFFF7DF"/>
      </x:patternFill>
    </x:fill>
    <x:fill>
      <x:patternFill patternType="solid">
        <x:fgColor rgb="FFFFF1E6"/>
      </x:patternFill>
    </x:fill>
  </x:fills>
  <x:borders count="12">
    <x:border/>
    <x:border>
      <x:left style="thin">
        <x:color rgb="FFB8C4CC"/>
      </x:left>
      <x:right style="thin">
        <x:color rgb="FFB8C4CC"/>
      </x:right>
      <x:top style="thin">
        <x:color rgb="FFB8C4CC"/>
      </x:top>
      <x:bottom style="thin">
        <x:color rgb="FFB8C4CC"/>
      </x:bottom>
    </x:border>
    <x:border>
      <x:bottom style="thin">
        <x:color rgb="FFE4E7EB"/>
      </x:bottom>
    </x:border>
    <x:border>
      <x:top style="thin">
        <x:color rgb="FFE4E7EB"/>
      </x:top>
      <x:bottom style="thin">
        <x:color rgb="FFE4E7EB"/>
      </x:bottom>
    </x:border>
    <x:border>
      <x:left style="thin">
        <x:color rgb="FFCBD2D9"/>
      </x:left>
      <x:top style="thin">
        <x:color rgb="FFCBD2D9"/>
      </x:top>
    </x:border>
    <x:border>
      <x:right style="thin">
        <x:color rgb="FFCBD2D9"/>
      </x:right>
      <x:top style="thin">
        <x:color rgb="FFCBD2D9"/>
      </x:top>
    </x:border>
    <x:border>
      <x:left style="thin">
        <x:color rgb="FFCBD2D9"/>
      </x:left>
      <x:bottom style="thin">
        <x:color rgb="FFCBD2D9"/>
      </x:bottom>
    </x:border>
    <x:border>
      <x:right style="thin">
        <x:color rgb="FFCBD2D9"/>
      </x:right>
      <x:bottom style="thin">
        <x:color rgb="FFCBD2D9"/>
      </x:bottom>
    </x:border>
    <x:border>
      <x:left style="thin">
        <x:color rgb="FFE4E7EB"/>
      </x:left>
      <x:right style="thin">
        <x:color rgb="FFE4E7EB"/>
      </x:right>
      <x:top style="thin">
        <x:color rgb="FFE4E7EB"/>
      </x:top>
      <x:bottom style="thin">
        <x:color rgb="FFE4E7EB"/>
      </x:bottom>
    </x:border>
    <x:border>
      <x:left style="thin">
        <x:color rgb="FFE8C46A"/>
      </x:left>
      <x:top style="thin">
        <x:color rgb="FFE8C46A"/>
      </x:top>
      <x:bottom style="thin">
        <x:color rgb="FFE8C46A"/>
      </x:bottom>
    </x:border>
    <x:border>
      <x:top style="thin">
        <x:color rgb="FFE8C46A"/>
      </x:top>
      <x:bottom style="thin">
        <x:color rgb="FFE8C46A"/>
      </x:bottom>
    </x:border>
    <x:border>
      <x:right style="thin">
        <x:color rgb="FFE8C46A"/>
      </x:right>
      <x:top style="thin">
        <x:color rgb="FFE8C46A"/>
      </x:top>
      <x:bottom style="thin">
        <x:color rgb="FFE8C46A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horizontal="center" vertical="center" wrapText="1"/>
    </x:xf>
    <x:xf numFmtId="201" fontId="5" fillId="0" borderId="2" xfId="0" applyNumberFormat="1" applyFont="1" applyFill="1" applyBorder="1" applyAlignment="1">
      <x:alignment horizontal="center" vertical="center" wrapText="1"/>
    </x:xf>
    <x:xf numFmtId="201" fontId="5" fillId="0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4" xfId="0" applyNumberFormat="1" applyFont="1" applyFill="1" applyBorder="1" applyAlignment="1">
      <x:alignment horizontal="center"/>
    </x:xf>
    <x:xf numFmtId="0" fontId="0" fillId="6" borderId="5" xfId="0" applyNumberFormat="1" applyFont="1" applyFill="1" applyBorder="1" applyAlignment="1">
      <x:alignment horizontal="center"/>
    </x:xf>
    <x:xf numFmtId="0" fontId="0" fillId="6" borderId="6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4" xfId="0" applyNumberFormat="1" applyFont="1" applyFill="1" applyBorder="1" applyAlignment="1">
      <x:alignment horizontal="center"/>
    </x:xf>
    <x:xf numFmtId="0" fontId="0" fillId="7" borderId="5" xfId="0" applyNumberFormat="1" applyFont="1" applyFill="1" applyBorder="1" applyAlignment="1">
      <x:alignment horizontal="center"/>
    </x:xf>
    <x:xf numFmtId="0" fontId="0" fillId="7" borderId="6" xfId="0" applyNumberFormat="1" applyFont="1" applyFill="1" applyBorder="1" applyAlignment="1">
      <x:alignment horizontal="center"/>
    </x:xf>
    <x:xf numFmtId="0" fontId="0" fillId="7" borderId="7" xfId="0" applyNumberFormat="1" applyFont="1" applyFill="1" applyBorder="1" applyAlignment="1">
      <x:alignment horizontal="center"/>
    </x:xf>
    <x:xf numFmtId="0" fontId="0" fillId="7" borderId="4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0" fillId="7" borderId="6" xfId="0" applyNumberFormat="1" applyFont="1" applyFill="1" applyBorder="1" applyAlignment="1">
      <x:alignment horizontal="center" vertical="center"/>
    </x:xf>
    <x:xf numFmtId="0" fontId="0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4" xfId="0" applyNumberFormat="1" applyFont="1" applyFill="1" applyBorder="1" applyAlignment="1">
      <x:alignment horizontal="center"/>
    </x:xf>
    <x:xf numFmtId="0" fontId="0" fillId="8" borderId="5" xfId="0" applyNumberFormat="1" applyFont="1" applyFill="1" applyBorder="1" applyAlignment="1">
      <x:alignment horizontal="center"/>
    </x:xf>
    <x:xf numFmtId="0" fontId="0" fillId="8" borderId="6" xfId="0" applyNumberFormat="1" applyFont="1" applyFill="1" applyBorder="1" applyAlignment="1">
      <x:alignment horizontal="center"/>
    </x:xf>
    <x:xf numFmtId="0" fontId="0" fillId="8" borderId="7" xfId="0" applyNumberFormat="1" applyFont="1" applyFill="1" applyBorder="1" applyAlignment="1">
      <x:alignment horizontal="center"/>
    </x:xf>
    <x:xf numFmtId="0" fontId="0" fillId="8" borderId="4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horizontal="center" vertical="center"/>
    </x:xf>
    <x:xf numFmtId="0" fontId="0" fillId="8" borderId="6" xfId="0" applyNumberFormat="1" applyFont="1" applyFill="1" applyBorder="1" applyAlignment="1">
      <x:alignment horizontal="center" vertical="center"/>
    </x:xf>
    <x:xf numFmtId="0" fontId="0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4" xfId="0" applyNumberFormat="1" applyFont="1" applyFill="1" applyBorder="1" applyAlignment="1">
      <x:alignment horizontal="center"/>
    </x:xf>
    <x:xf numFmtId="0" fontId="0" fillId="9" borderId="5" xfId="0" applyNumberFormat="1" applyFont="1" applyFill="1" applyBorder="1" applyAlignment="1">
      <x:alignment horizontal="center"/>
    </x:xf>
    <x:xf numFmtId="0" fontId="0" fillId="9" borderId="6" xfId="0" applyNumberFormat="1" applyFont="1" applyFill="1" applyBorder="1" applyAlignment="1">
      <x:alignment horizontal="center"/>
    </x:xf>
    <x:xf numFmtId="0" fontId="0" fillId="9" borderId="7" xfId="0" applyNumberFormat="1" applyFont="1" applyFill="1" applyBorder="1" applyAlignment="1">
      <x:alignment horizontal="center"/>
    </x:xf>
    <x:xf numFmtId="0" fontId="0" fillId="9" borderId="4" xfId="0" applyNumberFormat="1" applyFont="1" applyFill="1" applyBorder="1" applyAlignment="1">
      <x:alignment horizontal="center" vertical="center"/>
    </x:xf>
    <x:xf numFmtId="0" fontId="0" fillId="9" borderId="5" xfId="0" applyNumberFormat="1" applyFont="1" applyFill="1" applyBorder="1" applyAlignment="1">
      <x:alignment horizontal="center" vertical="center"/>
    </x:xf>
    <x:xf numFmtId="0" fontId="0" fillId="9" borderId="6" xfId="0" applyNumberFormat="1" applyFont="1" applyFill="1" applyBorder="1" applyAlignment="1">
      <x:alignment horizontal="center" vertical="center"/>
    </x:xf>
    <x:xf numFmtId="0" fontId="0" fillId="9" borderId="7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4" xfId="0" applyNumberFormat="1" applyFont="1" applyFill="1" applyBorder="1" applyAlignment="1">
      <x:alignment horizontal="center"/>
    </x:xf>
    <x:xf numFmtId="0" fontId="0" fillId="10" borderId="5" xfId="0" applyNumberFormat="1" applyFont="1" applyFill="1" applyBorder="1" applyAlignment="1">
      <x:alignment horizontal="center"/>
    </x:xf>
    <x:xf numFmtId="0" fontId="0" fillId="10" borderId="6" xfId="0" applyNumberFormat="1" applyFont="1" applyFill="1" applyBorder="1" applyAlignment="1">
      <x:alignment horizontal="center"/>
    </x:xf>
    <x:xf numFmtId="0" fontId="0" fillId="10" borderId="7" xfId="0" applyNumberFormat="1" applyFont="1" applyFill="1" applyBorder="1" applyAlignment="1">
      <x:alignment horizontal="center"/>
    </x:xf>
    <x:xf numFmtId="0" fontId="0" fillId="10" borderId="4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 applyAlignment="1">
      <x:alignment horizontal="center" vertical="center"/>
    </x:xf>
    <x:xf numFmtId="0" fontId="0" fillId="10" borderId="6" xfId="0" applyNumberFormat="1" applyFont="1" applyFill="1" applyBorder="1" applyAlignment="1">
      <x:alignment horizontal="center" vertical="center"/>
    </x:xf>
    <x:xf numFmtId="0" fontId="0" fillId="10" borderId="7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0" fillId="11" borderId="4" xfId="0" applyNumberFormat="1" applyFont="1" applyFill="1" applyBorder="1"/>
    <x:xf numFmtId="0" fontId="0" fillId="11" borderId="5" xfId="0" applyNumberFormat="1" applyFont="1" applyFill="1" applyBorder="1"/>
    <x:xf numFmtId="0" fontId="0" fillId="11" borderId="6" xfId="0" applyNumberFormat="1" applyFont="1" applyFill="1" applyBorder="1"/>
    <x:xf numFmtId="0" fontId="0" fillId="11" borderId="7" xfId="0" applyNumberFormat="1" applyFont="1" applyFill="1" applyBorder="1"/>
    <x:xf numFmtId="0" fontId="0" fillId="11" borderId="4" xfId="0" applyNumberFormat="1" applyFont="1" applyFill="1" applyBorder="1" applyAlignment="1">
      <x:alignment horizontal="center"/>
    </x:xf>
    <x:xf numFmtId="0" fontId="0" fillId="11" borderId="5" xfId="0" applyNumberFormat="1" applyFont="1" applyFill="1" applyBorder="1" applyAlignment="1">
      <x:alignment horizontal="center"/>
    </x:xf>
    <x:xf numFmtId="0" fontId="0" fillId="11" borderId="6" xfId="0" applyNumberFormat="1" applyFont="1" applyFill="1" applyBorder="1" applyAlignment="1">
      <x:alignment horizontal="center"/>
    </x:xf>
    <x:xf numFmtId="0" fontId="0" fillId="11" borderId="7" xfId="0" applyNumberFormat="1" applyFont="1" applyFill="1" applyBorder="1" applyAlignment="1">
      <x:alignment horizontal="center"/>
    </x:xf>
    <x:xf numFmtId="0" fontId="0" fillId="11" borderId="4" xfId="0" applyNumberFormat="1" applyFont="1" applyFill="1" applyBorder="1" applyAlignment="1">
      <x:alignment horizontal="center" vertical="center"/>
    </x:xf>
    <x:xf numFmtId="0" fontId="0" fillId="11" borderId="5" xfId="0" applyNumberFormat="1" applyFont="1" applyFill="1" applyBorder="1" applyAlignment="1">
      <x:alignment horizontal="center" vertical="center"/>
    </x:xf>
    <x:xf numFmtId="0" fontId="0" fillId="11" borderId="6" xfId="0" applyNumberFormat="1" applyFont="1" applyFill="1" applyBorder="1" applyAlignment="1">
      <x:alignment horizontal="center" vertical="center"/>
    </x:xf>
    <x:xf numFmtId="0" fontId="0" fillId="11" borderId="7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10" borderId="4" xfId="0" applyNumberFormat="1" applyFont="1" applyFill="1" applyBorder="1" applyAlignment="1">
      <x:alignment horizontal="center" vertical="center"/>
    </x:xf>
    <x:xf numFmtId="0" fontId="8" fillId="11" borderId="4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8" borderId="6" xfId="0" applyNumberFormat="1" applyFont="1" applyFill="1" applyBorder="1" applyAlignment="1">
      <x:alignment horizontal="center" vertical="center"/>
    </x:xf>
    <x:xf numFmtId="0" fontId="9" fillId="8" borderId="7" xfId="0" applyNumberFormat="1" applyFont="1" applyFill="1" applyBorder="1" applyAlignment="1">
      <x:alignment horizontal="center" vertical="center"/>
    </x:xf>
    <x:xf numFmtId="0" fontId="9" fillId="9" borderId="6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9" fillId="10" borderId="7" xfId="0" applyNumberFormat="1" applyFont="1" applyFill="1" applyBorder="1" applyAlignment="1">
      <x:alignment horizontal="center" vertical="center"/>
    </x:xf>
    <x:xf numFmtId="0" fontId="9" fillId="11" borderId="6" xfId="0" applyNumberFormat="1" applyFont="1" applyFill="1" applyBorder="1" applyAlignment="1">
      <x:alignment horizontal="center" vertical="center"/>
    </x:xf>
    <x:xf numFmtId="0" fontId="9" fillId="11" borderId="7" xfId="0" applyNumberFormat="1" applyFont="1" applyFill="1" applyBorder="1" applyAlignment="1">
      <x:alignment horizontal="center" vertical="center"/>
    </x:xf>
    <x:xf numFmtId="201" fontId="9" fillId="10" borderId="6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8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/>
    <x:xf numFmtId="0" fontId="10" fillId="10" borderId="9" xfId="0" applyNumberFormat="1" applyFont="1" applyFill="1" applyBorder="1"/>
    <x:xf numFmtId="0" fontId="10" fillId="10" borderId="10" xfId="0" applyNumberFormat="1" applyFont="1" applyFill="1" applyBorder="1"/>
    <x:xf numFmtId="0" fontId="10" fillId="10" borderId="11" xfId="0" applyNumberFormat="1" applyFont="1" applyFill="1" applyBorder="1"/>
    <x:xf numFmtId="0" fontId="10" fillId="10" borderId="9" xfId="0" applyNumberFormat="1" applyFont="1" applyFill="1" applyBorder="1" applyAlignment="1">
      <x:alignment horizontal="center"/>
    </x:xf>
    <x:xf numFmtId="0" fontId="10" fillId="10" borderId="10" xfId="0" applyNumberFormat="1" applyFont="1" applyFill="1" applyBorder="1" applyAlignment="1">
      <x:alignment horizontal="center"/>
    </x:xf>
    <x:xf numFmtId="0" fontId="10" fillId="10" borderId="11" xfId="0" applyNumberFormat="1" applyFont="1" applyFill="1" applyBorder="1" applyAlignment="1">
      <x:alignment horizontal="center"/>
    </x:xf>
    <x:xf numFmtId="0" fontId="10" fillId="10" borderId="9" xfId="0" applyNumberFormat="1" applyFont="1" applyFill="1" applyBorder="1" applyAlignment="1">
      <x:alignment horizontal="center" vertical="center"/>
    </x:xf>
    <x:xf numFmtId="0" fontId="10" fillId="10" borderId="10" xfId="0" applyNumberFormat="1" applyFont="1" applyFill="1" applyBorder="1" applyAlignment="1">
      <x:alignment horizontal="center" vertical="center"/>
    </x:xf>
    <x:xf numFmtId="0" fontId="10" fillId="10" borderId="1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6" borderId="5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11" fillId="9" borderId="5" xfId="0" applyNumberFormat="1" applyFont="1" applyFill="1" applyBorder="1" applyAlignment="1">
      <x:alignment horizontal="center" vertical="center"/>
    </x:xf>
    <x:xf numFmtId="0" fontId="11" fillId="10" borderId="5" xfId="0" applyNumberFormat="1" applyFont="1" applyFill="1" applyBorder="1" applyAlignment="1">
      <x:alignment horizontal="center" vertical="center"/>
    </x:xf>
    <x:xf numFmtId="0" fontId="11" fillId="11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1"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7791F"/>
      </x:font>
      <x:fill>
        <x:patternFill patternType="solid">
          <x:bgColor rgb="FFFFF7DF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7E57C2"/>
      </x:font>
      <x:fill>
        <x:patternFill patternType="solid">
          <x:bgColor rgb="FFF2ECFA"/>
        </x:patternFill>
      </x:fill>
    </x:dxf>
    <x:dxf>
      <x:font>
        <x:b/>
        <x:color rgb="FFB7791F"/>
      </x:font>
      <x:fill>
        <x:patternFill patternType="solid">
          <x:bgColor rgb="FFFFF7D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52606D"/>
      </x:font>
      <x:fill>
        <x:patternFill patternType="solid">
          <x:bgColor rgb="FFF5F7F9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52606D"/>
      </x:font>
      <x:fill>
        <x:patternFill patternType="solid">
          <x:bgColor rgb="FFF5F7F9"/>
        </x:patternFill>
      </x:fill>
    </x:dxf>
    <x:dxf>
      <x:font>
        <x:b/>
        <x:color rgb="FFB7791F"/>
      </x:font>
      <x:fill>
        <x:patternFill patternType="solid">
          <x:bgColor rgb="FFFFF7DF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52606D"/>
      </x:font>
      <x:fill>
        <x:patternFill patternType="solid">
          <x:bgColor rgb="FFF5F7F9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B7791F"/>
      </x:font>
      <x:fill>
        <x:patternFill patternType="solid">
          <x:bgColor rgb="FFFFF7DF"/>
        </x:patternFill>
      </x:fill>
    </x:dxf>
    <x:dxf>
      <x:font>
        <x:b/>
        <x:color rgb="FFB7791F"/>
      </x:font>
      <x:fill>
        <x:patternFill patternType="solid">
          <x:bgColor rgb="FFFFF7DF"/>
        </x:patternFill>
      </x:fill>
    </x:dxf>
    <x:dxf>
      <x:font>
        <x:b/>
        <x:color rgb="FFB7791F"/>
      </x:font>
      <x:fill>
        <x:patternFill patternType="solid">
          <x:bgColor rgb="FFF5F7F9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7E57C2"/>
      </x:font>
      <x:fill>
        <x:patternFill patternType="solid">
          <x:bgColor rgb="FFF2EC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f4fb8df6e4d16" /><Relationship Type="http://schemas.openxmlformats.org/officeDocument/2006/relationships/theme" Target="/xl/theme/theme1.xml" Id="R4fe711485fe1425c" /><Relationship Type="http://schemas.openxmlformats.org/officeDocument/2006/relationships/sharedStrings" Target="/xl/sharedStrings.xml" Id="R6abadcd804c94bff" /><Relationship Type="http://schemas.openxmlformats.org/officeDocument/2006/relationships/worksheet" Target="/xl/worksheets/sheet1.xml" Id="Re6d673f85fc343e6" /><Relationship Type="http://schemas.openxmlformats.org/officeDocument/2006/relationships/worksheet" Target="/xl/worksheets/sheet2.xml" Id="R419c531ee7d449a9" /><Relationship Type="http://schemas.openxmlformats.org/officeDocument/2006/relationships/worksheet" Target="/xl/worksheets/sheet3.xml" Id="Red121c2adf844374" /><Relationship Type="http://schemas.openxmlformats.org/officeDocument/2006/relationships/worksheet" Target="/xl/worksheets/sheet4.xml" Id="Rf6ac0a6b49684978" /><Relationship Type="http://schemas.openxmlformats.org/officeDocument/2006/relationships/worksheet" Target="/xl/worksheets/sheet5.xml" Id="R7b1d5352a302444a" /><Relationship Type="http://schemas.openxmlformats.org/officeDocument/2006/relationships/worksheet" Target="/xl/worksheets/sheet6.xml" Id="R2fa11e36f30047d2" /><Relationship Type="http://schemas.openxmlformats.org/officeDocument/2006/relationships/worksheet" Target="/xl/worksheets/sheet7.xml" Id="Rb7aeee7246a84742" /></Relationships>
</file>

<file path=xl/tables/table1.xml><?xml version="1.0" encoding="utf-8"?>
<x:table xmlns:x="http://schemas.openxmlformats.org/spreadsheetml/2006/main" id="2" name="SrmStages" displayName="SrmStages" ref="A4:O12" headerRowCount="1" totalsRowCount="0" totalsRowShown="0">
  <x:tableColumns count="15">
    <x:tableColumn id="1" name="阶段"/>
    <x:tableColumn id="2" name="范围属性"/>
    <x:tableColumn id="3" name="建议迭代"/>
    <x:tableColumn id="4" name="阶段目标"/>
    <x:tableColumn id="5" name="核心范围"/>
    <x:tableColumn id="6" name="进入条件"/>
    <x:tableColumn id="7" name="里程碑交付"/>
    <x:tableColumn id="8" name="阶段验收结果"/>
    <x:tableColumn id="9" name="关键依赖"/>
    <x:tableColumn id="10" name="任务数"/>
    <x:tableColumn id="11" name="P0任务"/>
    <x:tableColumn id="12" name="已完成"/>
    <x:tableColumn id="13" name="完成率"/>
    <x:tableColumn id="14" name="阶段状态"/>
    <x:tableColumn id="15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rmV10Tasks" displayName="SrmV10Tasks" ref="A5:AB146" headerRowCount="1" totalsRowCount="0" totalsRowShown="0">
  <x:autoFilter ref="A5:AB146"/>
  <x:tableColumns count="28">
    <x:tableColumn id="1" name="序号"/>
    <x:tableColumn id="2" name="任务ID"/>
    <x:tableColumn id="3" name="阶段"/>
    <x:tableColumn id="4" name="V1.0范围"/>
    <x:tableColumn id="5" name="一级业务域"/>
    <x:tableColumn id="6" name="二级功能"/>
    <x:tableColumn id="7" name="开发切片"/>
    <x:tableColumn id="8" name="任务类型"/>
    <x:tableColumn id="9" name="建议代码域"/>
    <x:tableColumn id="10" name="任务说明"/>
    <x:tableColumn id="11" name="关键业务规则/控制点"/>
    <x:tableColumn id="12" name="前置依赖"/>
    <x:tableColumn id="13" name="优先级"/>
    <x:tableColumn id="14" name="复杂度"/>
    <x:tableColumn id="15" name="建议执行方"/>
    <x:tableColumn id="16" name="计划迭代"/>
    <x:tableColumn id="17" name="并行组"/>
    <x:tableColumn id="18" name="计划开始"/>
    <x:tableColumn id="19" name="计划完成"/>
    <x:tableColumn id="20" name="状态"/>
    <x:tableColumn id="21" name="交付物"/>
    <x:tableColumn id="22" name="验收标准"/>
    <x:tableColumn id="23" name="Codex复核"/>
    <x:tableColumn id="24" name="构建验证"/>
    <x:tableColumn id="25" name="Git提交"/>
    <x:tableColumn id="26" name="部署验证"/>
    <x:tableColumn id="27" name="实际完成"/>
    <x:tableColumn id="2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rmModuleStageMap" displayName="SrmModuleStageMap" ref="A4:L16" headerRowCount="1" totalsRowCount="0" totalsRowShown="0">
  <x:tableColumns count="12">
    <x:tableColumn id="1" name="编号"/>
    <x:tableColumn id="2" name="一级业务域"/>
    <x:tableColumn id="3" name="阶段0"/>
    <x:tableColumn id="4" name="阶段1"/>
    <x:tableColumn id="5" name="阶段2"/>
    <x:tableColumn id="6" name="阶段3"/>
    <x:tableColumn id="7" name="阶段4"/>
    <x:tableColumn id="8" name="阶段5"/>
    <x:tableColumn id="9" name="阶段6"/>
    <x:tableColumn id="10" name="阶段7"/>
    <x:tableColumn id="11" name="V1.0主要交付"/>
    <x:tableColumn id="12" name="高级储备/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rmDecisions" displayName="SrmDecisions" ref="A4:J14" headerRowCount="1" totalsRowCount="0" totalsRowShown="0">
  <x:tableColumns count="10">
    <x:tableColumn id="1" name="决策ID"/>
    <x:tableColumn id="2" name="待决策事项"/>
    <x:tableColumn id="3" name="需确认内容"/>
    <x:tableColumn id="4" name="建议基线"/>
    <x:tableColumn id="5" name="影响范围"/>
    <x:tableColumn id="6" name="最晚关闭阶段"/>
    <x:tableColumn id="7" name="责任方"/>
    <x:tableColumn id="8" name="状态"/>
    <x:tableColumn id="9" name="最终结论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42b395ee5347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baaeff9b848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ac4377dd7940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45c6f627c5749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0" customHeight="1">
      <x:c r="A1" s="4" t="str">
        <x:v>SRM V1.0 实施与开发控制台</x:v>
      </x:c>
      <x:c r="B1" s="4" t="str">
        <x:v>SRM V1.0 实施与开发控制台</x:v>
      </x:c>
      <x:c r="C1" s="4" t="str">
        <x:v>SRM V1.0 实施与开发控制台</x:v>
      </x:c>
      <x:c r="D1" s="4" t="str">
        <x:v>SRM V1.0 实施与开发控制台</x:v>
      </x:c>
      <x:c r="E1" s="4" t="str">
        <x:v>SRM V1.0 实施与开发控制台</x:v>
      </x:c>
      <x:c r="F1" s="4" t="str">
        <x:v>SRM V1.0 实施与开发控制台</x:v>
      </x:c>
      <x:c r="G1" s="4" t="str">
        <x:v>SRM V1.0 实施与开发控制台</x:v>
      </x:c>
      <x:c r="H1" s="4" t="str">
        <x:v>SRM V1.0 实施与开发控制台</x:v>
      </x:c>
      <x:c r="I1" s="4" t="str">
        <x:v>SRM V1.0 实施与开发控制台</x:v>
      </x:c>
      <x:c r="J1" s="4" t="str">
        <x:v>SRM V1.0 实施与开发控制台</x:v>
      </x:c>
      <x:c r="K1" s="4" t="str">
        <x:v>SRM V1.0 实施与开发控制台</x:v>
      </x:c>
      <x:c r="L1" s="4" t="str">
        <x:v>SRM V1.0 实施与开发控制台</x:v>
      </x:c>
    </x:row>
    <x:row r="2" ht="30" customHeight="1">
      <x:c r="A2" s="4" t="str">
        <x:v>SRM V1.0 实施与开发控制台</x:v>
      </x:c>
      <x:c r="B2" s="4" t="str">
        <x:v>SRM V1.0 实施与开发控制台</x:v>
      </x:c>
      <x:c r="C2" s="4" t="str">
        <x:v>SRM V1.0 实施与开发控制台</x:v>
      </x:c>
      <x:c r="D2" s="4" t="str">
        <x:v>SRM V1.0 实施与开发控制台</x:v>
      </x:c>
      <x:c r="E2" s="4" t="str">
        <x:v>SRM V1.0 实施与开发控制台</x:v>
      </x:c>
      <x:c r="F2" s="4" t="str">
        <x:v>SRM V1.0 实施与开发控制台</x:v>
      </x:c>
      <x:c r="G2" s="4" t="str">
        <x:v>SRM V1.0 实施与开发控制台</x:v>
      </x:c>
      <x:c r="H2" s="4" t="str">
        <x:v>SRM V1.0 实施与开发控制台</x:v>
      </x:c>
      <x:c r="I2" s="4" t="str">
        <x:v>SRM V1.0 实施与开发控制台</x:v>
      </x:c>
      <x:c r="J2" s="4" t="str">
        <x:v>SRM V1.0 实施与开发控制台</x:v>
      </x:c>
      <x:c r="K2" s="4" t="str">
        <x:v>SRM V1.0 实施与开发控制台</x:v>
      </x:c>
      <x:c r="L2" s="4" t="str">
        <x:v>SRM V1.0 实施与开发控制台</x:v>
      </x:c>
    </x:row>
    <x:row r="3" ht="23" customHeight="1">
      <x:c r="A3" s="36" t="str">
        <x:v>基线：SRM供应商协同管理系统蓝图与总体设计说明书 V1.0　｜　范围：阶段0–6　｜　阶段7：高级能力储备</x:v>
      </x:c>
      <x:c r="B3" s="36" t="str">
        <x:v>基线：SRM供应商协同管理系统蓝图与总体设计说明书 V1.0　｜　范围：阶段0–6　｜　阶段7：高级能力储备</x:v>
      </x:c>
      <x:c r="C3" s="36" t="str">
        <x:v>基线：SRM供应商协同管理系统蓝图与总体设计说明书 V1.0　｜　范围：阶段0–6　｜　阶段7：高级能力储备</x:v>
      </x:c>
      <x:c r="D3" s="36" t="str">
        <x:v>基线：SRM供应商协同管理系统蓝图与总体设计说明书 V1.0　｜　范围：阶段0–6　｜　阶段7：高级能力储备</x:v>
      </x:c>
      <x:c r="E3" s="36" t="str">
        <x:v>基线：SRM供应商协同管理系统蓝图与总体设计说明书 V1.0　｜　范围：阶段0–6　｜　阶段7：高级能力储备</x:v>
      </x:c>
      <x:c r="F3" s="36" t="str">
        <x:v>基线：SRM供应商协同管理系统蓝图与总体设计说明书 V1.0　｜　范围：阶段0–6　｜　阶段7：高级能力储备</x:v>
      </x:c>
      <x:c r="G3" s="36" t="str">
        <x:v>基线：SRM供应商协同管理系统蓝图与总体设计说明书 V1.0　｜　范围：阶段0–6　｜　阶段7：高级能力储备</x:v>
      </x:c>
      <x:c r="H3" s="36" t="str">
        <x:v>基线：SRM供应商协同管理系统蓝图与总体设计说明书 V1.0　｜　范围：阶段0–6　｜　阶段7：高级能力储备</x:v>
      </x:c>
      <x:c r="I3" s="36" t="str">
        <x:v>基线：SRM供应商协同管理系统蓝图与总体设计说明书 V1.0　｜　范围：阶段0–6　｜　阶段7：高级能力储备</x:v>
      </x:c>
      <x:c r="J3" s="36" t="str">
        <x:v>基线：SRM供应商协同管理系统蓝图与总体设计说明书 V1.0　｜　范围：阶段0–6　｜　阶段7：高级能力储备</x:v>
      </x:c>
      <x:c r="K3" s="36" t="str">
        <x:v>基线：SRM供应商协同管理系统蓝图与总体设计说明书 V1.0　｜　范围：阶段0–6　｜　阶段7：高级能力储备</x:v>
      </x:c>
      <x:c r="L3" s="36" t="str">
        <x:v>基线：SRM供应商协同管理系统蓝图与总体设计说明书 V1.0　｜　范围：阶段0–6　｜　阶段7：高级能力储备</x:v>
      </x:c>
    </x:row>
    <x:row r="4">
      <x:c r="A4" s="154"/>
      <x:c r="B4" s="154"/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</x:row>
    <x:row r="5" ht="28" customHeight="1">
      <x:c r="A5" s="38" t="str">
        <x:v>项目</x:v>
      </x:c>
      <x:c r="B5" s="41" t="str">
        <x:v>SRM供应商协同管理系统</x:v>
      </x:c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</x:row>
    <x:row r="6" ht="28" customHeight="1">
      <x:c r="A6" s="38" t="str">
        <x:v>文档版本</x:v>
      </x:c>
      <x:c r="B6" s="41" t="str">
        <x:v>V1.0</x:v>
      </x:c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</x:row>
    <x:row r="7" ht="28" customHeight="1">
      <x:c r="A7" s="38" t="str">
        <x:v>编制日期</x:v>
      </x:c>
      <x:c r="B7" s="42" t="n">
        <x:v>46225</x:v>
      </x:c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</x:row>
    <x:row r="8" ht="28" customHeight="1">
      <x:c r="A8" s="38" t="str">
        <x:v>实施原则</x:v>
      </x:c>
      <x:c r="B8" s="41" t="str">
        <x:v>按可运行场景验收；不以页面数量作为阶段完成标准</x:v>
      </x:c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</x:row>
    <x:row r="9">
      <x:c r="A9" s="154"/>
      <x:c r="B9" s="154"/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</x:row>
    <x:row r="10" ht="25" customHeight="1">
      <x:c r="A10" s="121" t="str">
        <x:v>V1.0任务总数</x:v>
      </x:c>
      <x:c r="B10" s="155" t="str"/>
      <x:c r="C10" s="122" t="str">
        <x:v>已完成</x:v>
      </x:c>
      <x:c r="D10" s="156" t="str"/>
      <x:c r="E10" s="123" t="str">
        <x:v>进行中/待复核/待验收</x:v>
      </x:c>
      <x:c r="F10" s="157" t="str"/>
      <x:c r="G10" s="124" t="str">
        <x:v>已阻塞</x:v>
      </x:c>
      <x:c r="H10" s="158" t="str"/>
      <x:c r="I10" s="125" t="str">
        <x:v>总体完成率</x:v>
      </x:c>
      <x:c r="J10" s="159" t="str"/>
      <x:c r="K10" s="126" t="str">
        <x:v>待决策</x:v>
      </x:c>
      <x:c r="L10" s="160" t="str"/>
    </x:row>
    <x:row r="11" ht="34" customHeight="1">
      <x:c r="A11" s="127" t="n">
        <x:f>COUNTIF('开发任务总表'!$D$6:$D$146,"V1.0基线")</x:f>
        <x:v>131</x:v>
      </x:c>
      <x:c r="B11" s="128"/>
      <x:c r="C11" s="129" t="n">
        <x:f>COUNTIFS('开发任务总表'!$D$6:$D$146,"V1.0基线",'开发任务总表'!$T$6:$T$146,"已完成")</x:f>
        <x:v>2</x:v>
      </x:c>
      <x:c r="D11" s="130"/>
      <x:c r="E11" s="131" t="n">
        <x:f>COUNTIFS('开发任务总表'!$D$6:$D$146,"V1.0基线",'开发任务总表'!$T$6:$T$146,"进行中")+COUNTIFS('开发任务总表'!$D$6:$D$146,"V1.0基线",'开发任务总表'!$T$6:$T$146,"待复核")+COUNTIFS('开发任务总表'!$D$6:$D$146,"V1.0基线",'开发任务总表'!$T$6:$T$146,"待验收")</x:f>
        <x:v>0</x:v>
      </x:c>
      <x:c r="F11" s="132"/>
      <x:c r="G11" s="133" t="n">
        <x:f>COUNTIFS('开发任务总表'!$D$6:$D$146,"V1.0基线",'开发任务总表'!$T$6:$T$146,"已阻塞")</x:f>
        <x:v>0</x:v>
      </x:c>
      <x:c r="H11" s="134"/>
      <x:c r="I11" s="139" t="n">
        <x:f>IFERROR(COUNTIFS('开发任务总表'!$D$6:$D$146,"V1.0基线",'开发任务总表'!$T$6:$T$146,"已完成")/COUNTIF('开发任务总表'!$D$6:$D$146,"V1.0基线"),0)</x:f>
        <x:v>0.015267175572519083</x:v>
      </x:c>
      <x:c r="J11" s="136"/>
      <x:c r="K11" s="137" t="n">
        <x:f>COUNTIF('待决策事项'!$H$5:$H$14,"待确认")+COUNTIF('待决策事项'!$H$5:$H$14,"讨论中")</x:f>
        <x:v>10</x:v>
      </x:c>
      <x:c r="L11" s="138"/>
    </x:row>
    <x:row r="12">
      <x:c r="A12" s="154"/>
      <x:c r="B12" s="154"/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</x:row>
    <x:row r="13">
      <x:c r="A13" s="22" t="str">
        <x:v>阶段</x:v>
      </x:c>
      <x:c r="B13" s="22" t="str">
        <x:v>范围</x:v>
      </x:c>
      <x:c r="C13" s="22" t="str">
        <x:v>建议迭代</x:v>
      </x:c>
      <x:c r="D13" s="22" t="str">
        <x:v>任务数</x:v>
      </x:c>
      <x:c r="E13" s="22" t="str">
        <x:v>已完成</x:v>
      </x:c>
      <x:c r="F13" s="22" t="str">
        <x:v>进行中</x:v>
      </x:c>
      <x:c r="G13" s="22" t="str">
        <x:v>已阻塞</x:v>
      </x:c>
      <x:c r="H13" s="22" t="str">
        <x:v>完成率</x:v>
      </x:c>
      <x:c r="I13" s="154"/>
      <x:c r="J13" s="16" t="str">
        <x:v>使用说明</x:v>
      </x:c>
      <x:c r="K13" s="16" t="str">
        <x:v>使用说明</x:v>
      </x:c>
      <x:c r="L13" s="16" t="str">
        <x:v>使用说明</x:v>
      </x:c>
    </x:row>
    <x:row r="14" ht="40" customHeight="1">
      <x:c r="A14" s="28" t="str">
        <x:v>阶段0：设计与工程基线</x:v>
      </x:c>
      <x:c r="B14" s="30" t="str">
        <x:v>V1.0基线</x:v>
      </x:c>
      <x:c r="C14" s="30" t="str">
        <x:v>I00</x:v>
      </x:c>
      <x:c r="D14" s="30" t="n">
        <x:f>'阶段总览'!J5</x:f>
        <x:v>13</x:v>
      </x:c>
      <x:c r="E14" s="30" t="n">
        <x:f>'阶段总览'!L5</x:f>
        <x:v>2</x:v>
      </x:c>
      <x:c r="F14" s="30" t="n">
        <x:f>COUNTIFS('开发任务总表'!$C$6:$C$146,A14,'开发任务总表'!$T$6:$T$146,"进行中")+COUNTIFS('开发任务总表'!$C$6:$C$146,A14,'开发任务总表'!$T$6:$T$146,"待复核")+COUNTIFS('开发任务总表'!$C$6:$C$146,A14,'开发任务总表'!$T$6:$T$146,"待验收")</x:f>
        <x:v>0</x:v>
      </x:c>
      <x:c r="G14" s="30" t="n">
        <x:f>COUNTIFS('开发任务总表'!$C$6:$C$146,A14,'开发任务总表'!$T$6:$T$146,"已阻塞")</x:f>
        <x:v>0</x:v>
      </x:c>
      <x:c r="H14" s="34" t="n">
        <x:f>'阶段总览'!M5</x:f>
        <x:v>0.15384615384615385</x:v>
      </x:c>
      <x:c r="I14" s="154"/>
      <x:c r="J14" s="143" t="str">
        <x:v>1. 在“开发任务总表”筛选阶段、业务域、优先级、状态或并行组。</x:v>
      </x:c>
      <x:c r="K14" s="154"/>
      <x:c r="L14" s="154"/>
    </x:row>
    <x:row r="15" ht="40" customHeight="1">
      <x:c r="A15" s="29" t="str">
        <x:v>阶段1：平台与数据底座</x:v>
      </x:c>
      <x:c r="B15" s="31" t="str">
        <x:v>V1.0基线</x:v>
      </x:c>
      <x:c r="C15" s="31" t="str">
        <x:v>I01–I03</x:v>
      </x:c>
      <x:c r="D15" s="31" t="n">
        <x:f>'阶段总览'!J6</x:f>
        <x:v>21</x:v>
      </x:c>
      <x:c r="E15" s="31" t="n">
        <x:f>'阶段总览'!L6</x:f>
        <x:v>0</x:v>
      </x:c>
      <x:c r="F15" s="31" t="n">
        <x:f>COUNTIFS('开发任务总表'!$C$6:$C$146,A15,'开发任务总表'!$T$6:$T$146,"进行中")+COUNTIFS('开发任务总表'!$C$6:$C$146,A15,'开发任务总表'!$T$6:$T$146,"待复核")+COUNTIFS('开发任务总表'!$C$6:$C$146,A15,'开发任务总表'!$T$6:$T$146,"待验收")</x:f>
        <x:v>0</x:v>
      </x:c>
      <x:c r="G15" s="31" t="n">
        <x:f>COUNTIFS('开发任务总表'!$C$6:$C$146,A15,'开发任务总表'!$T$6:$T$146,"已阻塞")</x:f>
        <x:v>0</x:v>
      </x:c>
      <x:c r="H15" s="35" t="n">
        <x:f>'阶段总览'!M6</x:f>
        <x:v>0</x:v>
      </x:c>
      <x:c r="I15" s="154"/>
      <x:c r="J15" s="143" t="str">
        <x:v>2. 任务状态和四个质量闸门采用下拉选项；完成率自动更新。</x:v>
      </x:c>
      <x:c r="K15" s="154"/>
      <x:c r="L15" s="154"/>
    </x:row>
    <x:row r="16" ht="40" customHeight="1">
      <x:c r="A16" s="29" t="str">
        <x:v>阶段2：供应商与供应源基础</x:v>
      </x:c>
      <x:c r="B16" s="31" t="str">
        <x:v>V1.0基线</x:v>
      </x:c>
      <x:c r="C16" s="31" t="str">
        <x:v>I04–I06</x:v>
      </x:c>
      <x:c r="D16" s="31" t="n">
        <x:f>'阶段总览'!J7</x:f>
        <x:v>20</x:v>
      </x:c>
      <x:c r="E16" s="31" t="n">
        <x:f>'阶段总览'!L7</x:f>
        <x:v>0</x:v>
      </x:c>
      <x:c r="F16" s="31" t="n">
        <x:f>COUNTIFS('开发任务总表'!$C$6:$C$146,A16,'开发任务总表'!$T$6:$T$146,"进行中")+COUNTIFS('开发任务总表'!$C$6:$C$146,A16,'开发任务总表'!$T$6:$T$146,"待复核")+COUNTIFS('开发任务总表'!$C$6:$C$146,A16,'开发任务总表'!$T$6:$T$146,"待验收")</x:f>
        <x:v>0</x:v>
      </x:c>
      <x:c r="G16" s="31" t="n">
        <x:f>COUNTIFS('开发任务总表'!$C$6:$C$146,A16,'开发任务总表'!$T$6:$T$146,"已阻塞")</x:f>
        <x:v>0</x:v>
      </x:c>
      <x:c r="H16" s="35" t="n">
        <x:f>'阶段总览'!M7</x:f>
        <x:v>0</x:v>
      </x:c>
      <x:c r="I16" s="154"/>
      <x:c r="J16" s="143" t="str">
        <x:v>3. 计划日期、执行方、实际完成和备注为实施过程中维护字段。</x:v>
      </x:c>
      <x:c r="K16" s="154"/>
      <x:c r="L16" s="154"/>
    </x:row>
    <x:row r="17" ht="40" customHeight="1">
      <x:c r="A17" s="29" t="str">
        <x:v>阶段3：寻源、合同与转化</x:v>
      </x:c>
      <x:c r="B17" s="31" t="str">
        <x:v>V1.0基线</x:v>
      </x:c>
      <x:c r="C17" s="31" t="str">
        <x:v>I07–I09</x:v>
      </x:c>
      <x:c r="D17" s="31" t="n">
        <x:f>'阶段总览'!J8</x:f>
        <x:v>18</x:v>
      </x:c>
      <x:c r="E17" s="31" t="n">
        <x:f>'阶段总览'!L8</x:f>
        <x:v>0</x:v>
      </x:c>
      <x:c r="F17" s="31" t="n">
        <x:f>COUNTIFS('开发任务总表'!$C$6:$C$146,A17,'开发任务总表'!$T$6:$T$146,"进行中")+COUNTIFS('开发任务总表'!$C$6:$C$146,A17,'开发任务总表'!$T$6:$T$146,"待复核")+COUNTIFS('开发任务总表'!$C$6:$C$146,A17,'开发任务总表'!$T$6:$T$146,"待验收")</x:f>
        <x:v>0</x:v>
      </x:c>
      <x:c r="G17" s="31" t="n">
        <x:f>COUNTIFS('开发任务总表'!$C$6:$C$146,A17,'开发任务总表'!$T$6:$T$146,"已阻塞")</x:f>
        <x:v>0</x:v>
      </x:c>
      <x:c r="H17" s="35" t="n">
        <x:f>'阶段总览'!M8</x:f>
        <x:v>0</x:v>
      </x:c>
      <x:c r="I17" s="154"/>
      <x:c r="J17" s="143" t="str">
        <x:v>4. 每个开发切片按：开发→Codex复核→构建→Git提交→部署验证闭环。</x:v>
      </x:c>
      <x:c r="K17" s="154"/>
      <x:c r="L17" s="154"/>
    </x:row>
    <x:row r="18" ht="40" customHeight="1">
      <x:c r="A18" s="29" t="str">
        <x:v>阶段4：采购与交付闭环</x:v>
      </x:c>
      <x:c r="B18" s="31" t="str">
        <x:v>V1.0基线</x:v>
      </x:c>
      <x:c r="C18" s="31" t="str">
        <x:v>I10–I13</x:v>
      </x:c>
      <x:c r="D18" s="31" t="n">
        <x:f>'阶段总览'!J9</x:f>
        <x:v>23</x:v>
      </x:c>
      <x:c r="E18" s="31" t="n">
        <x:f>'阶段总览'!L9</x:f>
        <x:v>0</x:v>
      </x:c>
      <x:c r="F18" s="31" t="n">
        <x:f>COUNTIFS('开发任务总表'!$C$6:$C$146,A18,'开发任务总表'!$T$6:$T$146,"进行中")+COUNTIFS('开发任务总表'!$C$6:$C$146,A18,'开发任务总表'!$T$6:$T$146,"待复核")+COUNTIFS('开发任务总表'!$C$6:$C$146,A18,'开发任务总表'!$T$6:$T$146,"待验收")</x:f>
        <x:v>0</x:v>
      </x:c>
      <x:c r="G18" s="31" t="n">
        <x:f>COUNTIFS('开发任务总表'!$C$6:$C$146,A18,'开发任务总表'!$T$6:$T$146,"已阻塞")</x:f>
        <x:v>0</x:v>
      </x:c>
      <x:c r="H18" s="35" t="n">
        <x:f>'阶段总览'!M9</x:f>
        <x:v>0</x:v>
      </x:c>
      <x:c r="I18" s="154"/>
      <x:c r="J18" s="143" t="str">
        <x:v>5. P0为阶段出口必需；P1建议纳入；P2可在不破坏模型前提下后移。</x:v>
      </x:c>
      <x:c r="K18" s="154"/>
      <x:c r="L18" s="154"/>
    </x:row>
    <x:row r="19" ht="40" customHeight="1">
      <x:c r="A19" s="29" t="str">
        <x:v>阶段5：质量与结算闭环</x:v>
      </x:c>
      <x:c r="B19" s="31" t="str">
        <x:v>V1.0基线</x:v>
      </x:c>
      <x:c r="C19" s="31" t="str">
        <x:v>I14–I17</x:v>
      </x:c>
      <x:c r="D19" s="31" t="n">
        <x:f>'阶段总览'!J10</x:f>
        <x:v>20</x:v>
      </x:c>
      <x:c r="E19" s="31" t="n">
        <x:f>'阶段总览'!L10</x:f>
        <x:v>0</x:v>
      </x:c>
      <x:c r="F19" s="31" t="n">
        <x:f>COUNTIFS('开发任务总表'!$C$6:$C$146,A19,'开发任务总表'!$T$6:$T$146,"进行中")+COUNTIFS('开发任务总表'!$C$6:$C$146,A19,'开发任务总表'!$T$6:$T$146,"待复核")+COUNTIFS('开发任务总表'!$C$6:$C$146,A19,'开发任务总表'!$T$6:$T$146,"待验收")</x:f>
        <x:v>0</x:v>
      </x:c>
      <x:c r="G19" s="31" t="n">
        <x:f>COUNTIFS('开发任务总表'!$C$6:$C$146,A19,'开发任务总表'!$T$6:$T$146,"已阻塞")</x:f>
        <x:v>0</x:v>
      </x:c>
      <x:c r="H19" s="35" t="n">
        <x:f>'阶段总览'!M10</x:f>
        <x:v>0</x:v>
      </x:c>
      <x:c r="I19" s="154"/>
      <x:c r="J19" s="143" t="str">
        <x:v>6. 阶段7不计入V1.0完成率，需按真实企业需求另行立项。</x:v>
      </x:c>
      <x:c r="K19" s="154"/>
      <x:c r="L19" s="154"/>
    </x:row>
    <x:row r="20" ht="40" customHeight="1">
      <x:c r="A20" s="29" t="str">
        <x:v>阶段6：绩效风险与优化</x:v>
      </x:c>
      <x:c r="B20" s="31" t="str">
        <x:v>V1.0基线</x:v>
      </x:c>
      <x:c r="C20" s="31" t="str">
        <x:v>I18–I20</x:v>
      </x:c>
      <x:c r="D20" s="31" t="n">
        <x:f>'阶段总览'!J11</x:f>
        <x:v>16</x:v>
      </x:c>
      <x:c r="E20" s="31" t="n">
        <x:f>'阶段总览'!L11</x:f>
        <x:v>0</x:v>
      </x:c>
      <x:c r="F20" s="31" t="n">
        <x:f>COUNTIFS('开发任务总表'!$C$6:$C$146,A20,'开发任务总表'!$T$6:$T$146,"进行中")+COUNTIFS('开发任务总表'!$C$6:$C$146,A20,'开发任务总表'!$T$6:$T$146,"待复核")+COUNTIFS('开发任务总表'!$C$6:$C$146,A20,'开发任务总表'!$T$6:$T$146,"待验收")</x:f>
        <x:v>0</x:v>
      </x:c>
      <x:c r="G20" s="31" t="n">
        <x:f>COUNTIFS('开发任务总表'!$C$6:$C$146,A20,'开发任务总表'!$T$6:$T$146,"已阻塞")</x:f>
        <x:v>0</x:v>
      </x:c>
      <x:c r="H20" s="35" t="n">
        <x:f>'阶段总览'!M11</x:f>
        <x:v>0</x:v>
      </x:c>
      <x:c r="I20" s="154"/>
      <x:c r="J20" s="143" t="str">
        <x:v>7. “待决策事项”未关闭时，不启动受其影响的开发切片。</x:v>
      </x:c>
      <x:c r="K20" s="154"/>
      <x:c r="L20" s="154"/>
    </x:row>
    <x:row r="21" ht="40" customHeight="1">
      <x:c r="A21" s="29" t="str">
        <x:v>阶段7：高级制造协同</x:v>
      </x:c>
      <x:c r="B21" s="31" t="str">
        <x:v>高级储备（不计入V1.0上线）</x:v>
      </x:c>
      <x:c r="C21" s="31" t="str">
        <x:v>I21+（按需）</x:v>
      </x:c>
      <x:c r="D21" s="31" t="n">
        <x:f>'阶段总览'!J12</x:f>
        <x:v>10</x:v>
      </x:c>
      <x:c r="E21" s="31" t="n">
        <x:f>'阶段总览'!L12</x:f>
        <x:v>0</x:v>
      </x:c>
      <x:c r="F21" s="31" t="n">
        <x:f>COUNTIFS('开发任务总表'!$C$6:$C$146,A21,'开发任务总表'!$T$6:$T$146,"进行中")+COUNTIFS('开发任务总表'!$C$6:$C$146,A21,'开发任务总表'!$T$6:$T$146,"待复核")+COUNTIFS('开发任务总表'!$C$6:$C$146,A21,'开发任务总表'!$T$6:$T$146,"待验收")</x:f>
        <x:v>0</x:v>
      </x:c>
      <x:c r="G21" s="31" t="n">
        <x:f>COUNTIFS('开发任务总表'!$C$6:$C$146,A21,'开发任务总表'!$T$6:$T$146,"已阻塞")</x:f>
        <x:v>0</x:v>
      </x:c>
      <x:c r="H21" s="35" t="n">
        <x:f>'阶段总览'!M12</x:f>
        <x:v>0</x:v>
      </x:c>
      <x:c r="I21" s="154"/>
      <x:c r="J21" s="143" t="str">
        <x:v>8. 单阶段结束必须以端到端场景和负向用例验收。</x:v>
      </x:c>
      <x:c r="K21" s="154"/>
      <x:c r="L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</x:row>
    <x:row r="23" ht="30" customHeight="1">
      <x:c r="A23" s="151" t="str">
        <x:v>推荐实施顺序：工作台与平台基础 → 基础数据与系统设置 → 供应商与供应源 → 寻源/合同/转化 → 采购/交付 → 质量/结算 → 绩效风险与上线</x:v>
      </x:c>
      <x:c r="B23" s="152" t="str">
        <x:v>推荐实施顺序：工作台与平台基础 → 基础数据与系统设置 → 供应商与供应源 → 寻源/合同/转化 → 采购/交付 → 质量/结算 → 绩效风险与上线</x:v>
      </x:c>
      <x:c r="C23" s="152" t="str">
        <x:v>推荐实施顺序：工作台与平台基础 → 基础数据与系统设置 → 供应商与供应源 → 寻源/合同/转化 → 采购/交付 → 质量/结算 → 绩效风险与上线</x:v>
      </x:c>
      <x:c r="D23" s="152" t="str">
        <x:v>推荐实施顺序：工作台与平台基础 → 基础数据与系统设置 → 供应商与供应源 → 寻源/合同/转化 → 采购/交付 → 质量/结算 → 绩效风险与上线</x:v>
      </x:c>
      <x:c r="E23" s="152" t="str">
        <x:v>推荐实施顺序：工作台与平台基础 → 基础数据与系统设置 → 供应商与供应源 → 寻源/合同/转化 → 采购/交付 → 质量/结算 → 绩效风险与上线</x:v>
      </x:c>
      <x:c r="F23" s="152" t="str">
        <x:v>推荐实施顺序：工作台与平台基础 → 基础数据与系统设置 → 供应商与供应源 → 寻源/合同/转化 → 采购/交付 → 质量/结算 → 绩效风险与上线</x:v>
      </x:c>
      <x:c r="G23" s="152" t="str">
        <x:v>推荐实施顺序：工作台与平台基础 → 基础数据与系统设置 → 供应商与供应源 → 寻源/合同/转化 → 采购/交付 → 质量/结算 → 绩效风险与上线</x:v>
      </x:c>
      <x:c r="H23" s="152" t="str">
        <x:v>推荐实施顺序：工作台与平台基础 → 基础数据与系统设置 → 供应商与供应源 → 寻源/合同/转化 → 采购/交付 → 质量/结算 → 绩效风险与上线</x:v>
      </x:c>
      <x:c r="I23" s="152" t="str">
        <x:v>推荐实施顺序：工作台与平台基础 → 基础数据与系统设置 → 供应商与供应源 → 寻源/合同/转化 → 采购/交付 → 质量/结算 → 绩效风险与上线</x:v>
      </x:c>
      <x:c r="J23" s="152" t="str">
        <x:v>推荐实施顺序：工作台与平台基础 → 基础数据与系统设置 → 供应商与供应源 → 寻源/合同/转化 → 采购/交付 → 质量/结算 → 绩效风险与上线</x:v>
      </x:c>
      <x:c r="K23" s="152" t="str">
        <x:v>推荐实施顺序：工作台与平台基础 → 基础数据与系统设置 → 供应商与供应源 → 寻源/合同/转化 → 采购/交付 → 质量/结算 → 绩效风险与上线</x:v>
      </x:c>
      <x:c r="L23" s="153" t="str">
        <x:v>推荐实施顺序：工作台与平台基础 → 基础数据与系统设置 → 供应商与供应源 → 寻源/合同/转化 → 采购/交付 → 质量/结算 → 绩效风险与上线</x:v>
      </x:c>
    </x:row>
  </x:sheetData>
  <x:mergeCells>
    <x:mergeCell ref="A1:L2"/>
    <x:mergeCell ref="A3:L3"/>
    <x:mergeCell ref="A11:B11"/>
    <x:mergeCell ref="C11:D11"/>
    <x:mergeCell ref="E11:F11"/>
    <x:mergeCell ref="G11:H11"/>
    <x:mergeCell ref="I11:J11"/>
    <x:mergeCell ref="K11:L11"/>
    <x:mergeCell ref="J13:L13"/>
    <x:mergeCell ref="J14:L14"/>
    <x:mergeCell ref="J15:L15"/>
    <x:mergeCell ref="J16:L16"/>
    <x:mergeCell ref="J17:L17"/>
    <x:mergeCell ref="J18:L18"/>
    <x:mergeCell ref="J19:L19"/>
    <x:mergeCell ref="J20:L20"/>
    <x:mergeCell ref="J21:L21"/>
    <x:mergeCell ref="A23:L23"/>
  </x:mergeCells>
  <x:conditionalFormatting sqref="H14:H2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{37C2C026-7885-D3F2-FC4B-2609F049E9EA}</x14:id>
        </x:ext>
      </x:extLst>
    </x:cfRule>
  </x:conditionalFormatting>
  <x:conditionalFormatting sqref="B14:B21">
    <x:cfRule type="containsText" dxfId="24" priority="2" operator="containsText" text="高级储备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C2C026-7885-D3F2-FC4B-2609F049E9EA}">
            <x14:dataBar gradient="1">
              <x14:cfvo type="min"/>
              <x14:cfvo type="max"/>
              <x14:fillColor rgb="FF0F766E"/>
            </x14:dataBar>
          </x14:cfRule>
          <xm:sqref>H14:H21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3" hidden="0" customWidth="1"/>
    <x:col min="4" max="4" width="38" hidden="0" customWidth="1"/>
    <x:col min="5" max="5" width="48" hidden="0" customWidth="1"/>
    <x:col min="6" max="6" width="35" hidden="0" customWidth="1"/>
    <x:col min="7" max="7" width="34" hidden="0" customWidth="1"/>
    <x:col min="8" max="8" width="48" hidden="0" customWidth="1"/>
    <x:col min="9" max="9" width="25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20" hidden="0" customWidth="1"/>
  </x:cols>
  <x:sheetData>
    <x:row r="1">
      <x:c r="A1" s="4" t="str">
        <x:v>阶段总览与里程碑控制</x:v>
      </x:c>
      <x:c r="B1" s="4" t="str">
        <x:v>阶段总览与里程碑控制</x:v>
      </x:c>
      <x:c r="C1" s="4" t="str">
        <x:v>阶段总览与里程碑控制</x:v>
      </x:c>
      <x:c r="D1" s="4" t="str">
        <x:v>阶段总览与里程碑控制</x:v>
      </x:c>
      <x:c r="E1" s="4" t="str">
        <x:v>阶段总览与里程碑控制</x:v>
      </x:c>
      <x:c r="F1" s="4" t="str">
        <x:v>阶段总览与里程碑控制</x:v>
      </x:c>
      <x:c r="G1" s="4" t="str">
        <x:v>阶段总览与里程碑控制</x:v>
      </x:c>
      <x:c r="H1" s="4" t="str">
        <x:v>阶段总览与里程碑控制</x:v>
      </x:c>
      <x:c r="I1" s="4" t="str">
        <x:v>阶段总览与里程碑控制</x:v>
      </x:c>
      <x:c r="J1" s="4" t="str">
        <x:v>阶段总览与里程碑控制</x:v>
      </x:c>
      <x:c r="K1" s="4" t="str">
        <x:v>阶段总览与里程碑控制</x:v>
      </x:c>
      <x:c r="L1" s="4" t="str">
        <x:v>阶段总览与里程碑控制</x:v>
      </x:c>
      <x:c r="M1" s="4" t="str">
        <x:v>阶段总览与里程碑控制</x:v>
      </x:c>
      <x:c r="N1" s="4" t="str">
        <x:v>阶段总览与里程碑控制</x:v>
      </x:c>
      <x:c r="O1" s="4" t="str">
        <x:v>阶段总览与里程碑控制</x:v>
      </x:c>
    </x:row>
    <x:row r="2">
      <x:c r="A2" s="8" t="str">
        <x:v>阶段0–6为V1.0基线；阶段7为高级能力储备，不纳入V1.0上线完成率。</x:v>
      </x:c>
      <x:c r="B2" s="8" t="str">
        <x:v>阶段0–6为V1.0基线；阶段7为高级能力储备，不纳入V1.0上线完成率。</x:v>
      </x:c>
      <x:c r="C2" s="8" t="str">
        <x:v>阶段0–6为V1.0基线；阶段7为高级能力储备，不纳入V1.0上线完成率。</x:v>
      </x:c>
      <x:c r="D2" s="8" t="str">
        <x:v>阶段0–6为V1.0基线；阶段7为高级能力储备，不纳入V1.0上线完成率。</x:v>
      </x:c>
      <x:c r="E2" s="8" t="str">
        <x:v>阶段0–6为V1.0基线；阶段7为高级能力储备，不纳入V1.0上线完成率。</x:v>
      </x:c>
      <x:c r="F2" s="8" t="str">
        <x:v>阶段0–6为V1.0基线；阶段7为高级能力储备，不纳入V1.0上线完成率。</x:v>
      </x:c>
      <x:c r="G2" s="8" t="str">
        <x:v>阶段0–6为V1.0基线；阶段7为高级能力储备，不纳入V1.0上线完成率。</x:v>
      </x:c>
      <x:c r="H2" s="8" t="str">
        <x:v>阶段0–6为V1.0基线；阶段7为高级能力储备，不纳入V1.0上线完成率。</x:v>
      </x:c>
      <x:c r="I2" s="8" t="str">
        <x:v>阶段0–6为V1.0基线；阶段7为高级能力储备，不纳入V1.0上线完成率。</x:v>
      </x:c>
      <x:c r="J2" s="8" t="str">
        <x:v>阶段0–6为V1.0基线；阶段7为高级能力储备，不纳入V1.0上线完成率。</x:v>
      </x:c>
      <x:c r="K2" s="8" t="str">
        <x:v>阶段0–6为V1.0基线；阶段7为高级能力储备，不纳入V1.0上线完成率。</x:v>
      </x:c>
      <x:c r="L2" s="8" t="str">
        <x:v>阶段0–6为V1.0基线；阶段7为高级能力储备，不纳入V1.0上线完成率。</x:v>
      </x:c>
      <x:c r="M2" s="8" t="str">
        <x:v>阶段0–6为V1.0基线；阶段7为高级能力储备，不纳入V1.0上线完成率。</x:v>
      </x:c>
      <x:c r="N2" s="8" t="str">
        <x:v>阶段0–6为V1.0基线；阶段7为高级能力储备，不纳入V1.0上线完成率。</x:v>
      </x:c>
      <x:c r="O2" s="8" t="str">
        <x:v>阶段0–6为V1.0基线；阶段7为高级能力储备，不纳入V1.0上线完成率。</x:v>
      </x:c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  <x:c r="N3" s="154"/>
      <x:c r="O3" s="154"/>
    </x:row>
    <x:row r="4">
      <x:c r="A4" s="22" t="str">
        <x:v>阶段</x:v>
      </x:c>
      <x:c r="B4" s="22" t="str">
        <x:v>范围属性</x:v>
      </x:c>
      <x:c r="C4" s="22" t="str">
        <x:v>建议迭代</x:v>
      </x:c>
      <x:c r="D4" s="22" t="str">
        <x:v>阶段目标</x:v>
      </x:c>
      <x:c r="E4" s="22" t="str">
        <x:v>核心范围</x:v>
      </x:c>
      <x:c r="F4" s="22" t="str">
        <x:v>进入条件</x:v>
      </x:c>
      <x:c r="G4" s="22" t="str">
        <x:v>里程碑交付</x:v>
      </x:c>
      <x:c r="H4" s="22" t="str">
        <x:v>阶段验收结果</x:v>
      </x:c>
      <x:c r="I4" s="22" t="str">
        <x:v>关键依赖</x:v>
      </x:c>
      <x:c r="J4" s="22" t="str">
        <x:v>任务数</x:v>
      </x:c>
      <x:c r="K4" s="22" t="str">
        <x:v>P0任务</x:v>
      </x:c>
      <x:c r="L4" s="22" t="str">
        <x:v>已完成</x:v>
      </x:c>
      <x:c r="M4" s="22" t="str">
        <x:v>完成率</x:v>
      </x:c>
      <x:c r="N4" s="22" t="str">
        <x:v>阶段状态</x:v>
      </x:c>
      <x:c r="O4" s="22" t="str">
        <x:v>说明</x:v>
      </x:c>
    </x:row>
    <x:row r="5" ht="64" customHeight="1">
      <x:c r="A5" s="30" t="str">
        <x:v>阶段0：设计与工程基线</x:v>
      </x:c>
      <x:c r="B5" s="30" t="str">
        <x:v>V1.0基线</x:v>
      </x:c>
      <x:c r="C5" s="30" t="str">
        <x:v>I00</x:v>
      </x:c>
      <x:c r="D5" s="28" t="str">
        <x:v>锁定业务边界、领域对象、状态、权限、接口和工程规范，避免边开发边改模型。</x:v>
      </x:c>
      <x:c r="E5" s="28" t="str">
        <x:v>总体蓝图、领域词汇、对象状态、权限矩阵、主数据/接口边界、代码结构和开发规范</x:v>
      </x:c>
      <x:c r="F5" s="28" t="str">
        <x:v>V1.0蓝图评审通过</x:v>
      </x:c>
      <x:c r="G5" s="28" t="str">
        <x:v>设计基线包、ADR、任务总表、工程规范</x:v>
      </x:c>
      <x:c r="H5" s="28" t="str">
        <x:v>核心决策关闭；后续任务可按统一对象、状态和边界执行</x:v>
      </x:c>
      <x:c r="I5" s="28" t="str">
        <x:v>无</x:v>
      </x:c>
      <x:c r="J5" s="30" t="n">
        <x:f>COUNTIF('开发任务总表'!$C$6:$C$146,A5)</x:f>
        <x:v>13</x:v>
      </x:c>
      <x:c r="K5" s="30" t="n">
        <x:f>COUNTIFS('开发任务总表'!$C$6:$C$146,A5,'开发任务总表'!$M$6:$M$146,"P0")</x:f>
        <x:v>12</x:v>
      </x:c>
      <x:c r="L5" s="30" t="n">
        <x:f>COUNTIFS('开发任务总表'!$C$6:$C$146,A5,'开发任务总表'!$T$6:$T$146,"已完成")</x:f>
        <x:v>2</x:v>
      </x:c>
      <x:c r="M5" s="34" t="n">
        <x:f>IF(J5=0,0,L5/J5)</x:f>
        <x:v>0.15384615384615385</x:v>
      </x:c>
      <x:c r="N5" s="30" t="str">
        <x:f>IF(L5=J5,"已完成",IF(COUNTIFS('开发任务总表'!$C$6:$C$146,A5,'开发任务总表'!$T$6:$T$146,"已阻塞")&gt;0,"已阻塞",IF(COUNTIFS('开发任务总表'!$C$6:$C$146,A5,'开发任务总表'!$T$6:$T$146,"进行中")+COUNTIFS('开发任务总表'!$C$6:$C$146,A5,'开发任务总表'!$T$6:$T$146,"待复核")+COUNTIFS('开发任务总表'!$C$6:$C$146,A5,'开发任务总表'!$T$6:$T$146,"待验收")&gt;0,"进行中","未开始")))</x:f>
        <x:v>未开始</x:v>
      </x:c>
      <x:c r="O5" s="28" t="str"/>
    </x:row>
    <x:row r="6" ht="64" customHeight="1">
      <x:c r="A6" s="31" t="str">
        <x:v>阶段1：平台与数据底座</x:v>
      </x:c>
      <x:c r="B6" s="31" t="str">
        <x:v>V1.0基线</x:v>
      </x:c>
      <x:c r="C6" s="31" t="str">
        <x:v>I01–I03</x:v>
      </x:c>
      <x:c r="D6" s="29" t="str">
        <x:v>形成可登录、可授权、可审计、可维护主数据的模块化单体基础平台。</x:v>
      </x:c>
      <x:c r="E6" s="29" t="str">
        <x:v>身份、角色下挂用户、数据权限、任务流程、附件审计、基础数据、工作台骨架、集成底座</x:v>
      </x:c>
      <x:c r="F6" s="29" t="str">
        <x:v>阶段0完成；架构与权限模型明确</x:v>
      </x:c>
      <x:c r="G6" s="29" t="str">
        <x:v>内部平台底座可运行</x:v>
      </x:c>
      <x:c r="H6" s="29" t="str">
        <x:v>内部用户可登录；菜单与数据域正确；主数据可维护/同步；审计和任务可追溯</x:v>
      </x:c>
      <x:c r="I6" s="29" t="str">
        <x:v>阶段0</x:v>
      </x:c>
      <x:c r="J6" s="31" t="n">
        <x:f>COUNTIF('开发任务总表'!$C$6:$C$146,A6)</x:f>
        <x:v>21</x:v>
      </x:c>
      <x:c r="K6" s="31" t="n">
        <x:f>COUNTIFS('开发任务总表'!$C$6:$C$146,A6,'开发任务总表'!$M$6:$M$146,"P0")</x:f>
        <x:v>18</x:v>
      </x:c>
      <x:c r="L6" s="31" t="n">
        <x:f>COUNTIFS('开发任务总表'!$C$6:$C$146,A6,'开发任务总表'!$T$6:$T$146,"已完成")</x:f>
        <x:v>0</x:v>
      </x:c>
      <x:c r="M6" s="35" t="n">
        <x:f>IF(J6=0,0,L6/J6)</x:f>
        <x:v>0</x:v>
      </x:c>
      <x:c r="N6" s="31" t="str">
        <x:f>IF(L6=J6,"已完成",IF(COUNTIFS('开发任务总表'!$C$6:$C$146,A6,'开发任务总表'!$T$6:$T$146,"已阻塞")&gt;0,"已阻塞",IF(COUNTIFS('开发任务总表'!$C$6:$C$146,A6,'开发任务总表'!$T$6:$T$146,"进行中")+COUNTIFS('开发任务总表'!$C$6:$C$146,A6,'开发任务总表'!$T$6:$T$146,"待复核")+COUNTIFS('开发任务总表'!$C$6:$C$146,A6,'开发任务总表'!$T$6:$T$146,"待验收")&gt;0,"进行中","未开始")))</x:f>
        <x:v>未开始</x:v>
      </x:c>
      <x:c r="O6" s="29" t="str"/>
    </x:row>
    <x:row r="7" ht="64" customHeight="1">
      <x:c r="A7" s="31" t="str">
        <x:v>阶段2：供应商与供应源基础</x:v>
      </x:c>
      <x:c r="B7" s="31" t="str">
        <x:v>V1.0基线</x:v>
      </x:c>
      <x:c r="C7" s="31" t="str">
        <x:v>I04–I06</x:v>
      </x:c>
      <x:c r="D7" s="29" t="str">
        <x:v>建立供应商主体、站点、用户及候选/受控供应源的基础治理。</x:v>
      </x:c>
      <x:c r="E7" s="29" t="str">
        <x:v>资源池、注册、档案、准入、资质、站点/用户、冻结退出、供应源核心模型</x:v>
      </x:c>
      <x:c r="F7" s="29" t="str">
        <x:v>阶段1身份权限、基础数据和附件能力可用</x:v>
      </x:c>
      <x:c r="G7" s="29" t="str">
        <x:v>供应商门户基础与供应源台账</x:v>
      </x:c>
      <x:c r="H7" s="29" t="str">
        <x:v>新供应商可从注册进入受控供应源；既有供应商物料关系可受控建立并追溯</x:v>
      </x:c>
      <x:c r="I7" s="29" t="str">
        <x:v>阶段1</x:v>
      </x:c>
      <x:c r="J7" s="31" t="n">
        <x:f>COUNTIF('开发任务总表'!$C$6:$C$146,A7)</x:f>
        <x:v>20</x:v>
      </x:c>
      <x:c r="K7" s="31" t="n">
        <x:f>COUNTIFS('开发任务总表'!$C$6:$C$146,A7,'开发任务总表'!$M$6:$M$146,"P0")</x:f>
        <x:v>17</x:v>
      </x:c>
      <x:c r="L7" s="31" t="n">
        <x:f>COUNTIFS('开发任务总表'!$C$6:$C$146,A7,'开发任务总表'!$T$6:$T$146,"已完成")</x:f>
        <x:v>0</x:v>
      </x:c>
      <x:c r="M7" s="35" t="n">
        <x:f>IF(J7=0,0,L7/J7)</x:f>
        <x:v>0</x:v>
      </x:c>
      <x:c r="N7" s="31" t="str">
        <x:f>IF(L7=J7,"已完成",IF(COUNTIFS('开发任务总表'!$C$6:$C$146,A7,'开发任务总表'!$T$6:$T$146,"已阻塞")&gt;0,"已阻塞",IF(COUNTIFS('开发任务总表'!$C$6:$C$146,A7,'开发任务总表'!$T$6:$T$146,"进行中")+COUNTIFS('开发任务总表'!$C$6:$C$146,A7,'开发任务总表'!$T$6:$T$146,"待复核")+COUNTIFS('开发任务总表'!$C$6:$C$146,A7,'开发任务总表'!$T$6:$T$146,"待验收")&gt;0,"进行中","未开始")))</x:f>
        <x:v>未开始</x:v>
      </x:c>
      <x:c r="O7" s="29" t="str"/>
    </x:row>
    <x:row r="8" ht="64" customHeight="1">
      <x:c r="A8" s="31" t="str">
        <x:v>阶段3：寻源、合同与转化</x:v>
      </x:c>
      <x:c r="B8" s="31" t="str">
        <x:v>V1.0基线</x:v>
      </x:c>
      <x:c r="C8" s="31" t="str">
        <x:v>I07–I09</x:v>
      </x:c>
      <x:c r="D8" s="29" t="str">
        <x:v>让多入口寻源产生可审计定标，并并行转化为采购依据、价格和可用供应源。</x:v>
      </x:c>
      <x:c r="E8" s="29" t="str">
        <x:v>寻源需求、RFQ/报价、评审定标、合同/采购依据、价格版本、中选转化和供应源激活</x:v>
      </x:c>
      <x:c r="F8" s="29" t="str">
        <x:v>阶段2供应商与供应源基础完成</x:v>
      </x:c>
      <x:c r="G8" s="29" t="str">
        <x:v>寻源到条件/正式供应源转化闭环</x:v>
      </x:c>
      <x:c r="H8" s="29" t="str">
        <x:v>定标结果、合同依据、价格和供应源来源可追溯；定标不能绕过交易资格关口</x:v>
      </x:c>
      <x:c r="I8" s="29" t="str">
        <x:v>阶段2</x:v>
      </x:c>
      <x:c r="J8" s="31" t="n">
        <x:f>COUNTIF('开发任务总表'!$C$6:$C$146,A8)</x:f>
        <x:v>18</x:v>
      </x:c>
      <x:c r="K8" s="31" t="n">
        <x:f>COUNTIFS('开发任务总表'!$C$6:$C$146,A8,'开发任务总表'!$M$6:$M$146,"P0")</x:f>
        <x:v>16</x:v>
      </x:c>
      <x:c r="L8" s="31" t="n">
        <x:f>COUNTIFS('开发任务总表'!$C$6:$C$146,A8,'开发任务总表'!$T$6:$T$146,"已完成")</x:f>
        <x:v>0</x:v>
      </x:c>
      <x:c r="M8" s="35" t="n">
        <x:f>IF(J8=0,0,L8/J8)</x:f>
        <x:v>0</x:v>
      </x:c>
      <x:c r="N8" s="31" t="str">
        <x:f>IF(L8=J8,"已完成",IF(COUNTIFS('开发任务总表'!$C$6:$C$146,A8,'开发任务总表'!$T$6:$T$146,"已阻塞")&gt;0,"已阻塞",IF(COUNTIFS('开发任务总表'!$C$6:$C$146,A8,'开发任务总表'!$T$6:$T$146,"进行中")+COUNTIFS('开发任务总表'!$C$6:$C$146,A8,'开发任务总表'!$T$6:$T$146,"待复核")+COUNTIFS('开发任务总表'!$C$6:$C$146,A8,'开发任务总表'!$T$6:$T$146,"待验收")&gt;0,"进行中","未开始")))</x:f>
        <x:v>未开始</x:v>
      </x:c>
      <x:c r="O8" s="29" t="str"/>
    </x:row>
    <x:row r="9" ht="64" customHeight="1">
      <x:c r="A9" s="31" t="str">
        <x:v>阶段4：采购与交付闭环</x:v>
      </x:c>
      <x:c r="B9" s="31" t="str">
        <x:v>V1.0基线</x:v>
      </x:c>
      <x:c r="C9" s="31" t="str">
        <x:v>I10–I13</x:v>
      </x:c>
      <x:c r="D9" s="29" t="str">
        <x:v>完成采购需求接收、供应源匹配、多供应商分配、PO承诺、ASN和收货差异闭环。</x:v>
      </x:c>
      <x:c r="E9" s="29" t="str">
        <x:v>采购需求、匹配缺口、实际分配、PO模式、确认差异、变更、ASN、在途、收货与退货</x:v>
      </x:c>
      <x:c r="F9" s="29" t="str">
        <x:v>存在可用供应源；PO权威模式已决策</x:v>
      </x:c>
      <x:c r="G9" s="29" t="str">
        <x:v>已有供应源需求到收货的最短业务闭环</x:v>
      </x:c>
      <x:c r="H9" s="29" t="str">
        <x:v>需求到收货完整跑通；分配/PO/ASN关口有效；异常有责任人和关闭路径</x:v>
      </x:c>
      <x:c r="I9" s="29" t="str">
        <x:v>阶段3；阶段0关键决策D-001</x:v>
      </x:c>
      <x:c r="J9" s="31" t="n">
        <x:f>COUNTIF('开发任务总表'!$C$6:$C$146,A9)</x:f>
        <x:v>23</x:v>
      </x:c>
      <x:c r="K9" s="31" t="n">
        <x:f>COUNTIFS('开发任务总表'!$C$6:$C$146,A9,'开发任务总表'!$M$6:$M$146,"P0")</x:f>
        <x:v>21</x:v>
      </x:c>
      <x:c r="L9" s="31" t="n">
        <x:f>COUNTIFS('开发任务总表'!$C$6:$C$146,A9,'开发任务总表'!$T$6:$T$146,"已完成")</x:f>
        <x:v>0</x:v>
      </x:c>
      <x:c r="M9" s="35" t="n">
        <x:f>IF(J9=0,0,L9/J9)</x:f>
        <x:v>0</x:v>
      </x:c>
      <x:c r="N9" s="31" t="str">
        <x:f>IF(L9=J9,"已完成",IF(COUNTIFS('开发任务总表'!$C$6:$C$146,A9,'开发任务总表'!$T$6:$T$146,"已阻塞")&gt;0,"已阻塞",IF(COUNTIFS('开发任务总表'!$C$6:$C$146,A9,'开发任务总表'!$T$6:$T$146,"进行中")+COUNTIFS('开发任务总表'!$C$6:$C$146,A9,'开发任务总表'!$T$6:$T$146,"待复核")+COUNTIFS('开发任务总表'!$C$6:$C$146,A9,'开发任务总表'!$T$6:$T$146,"待验收")&gt;0,"进行中","未开始")))</x:f>
        <x:v>未开始</x:v>
      </x:c>
      <x:c r="O9" s="29" t="str"/>
    </x:row>
    <x:row r="10" ht="64" customHeight="1">
      <x:c r="A10" s="31" t="str">
        <x:v>阶段5：质量与结算闭环</x:v>
      </x:c>
      <x:c r="B10" s="31" t="str">
        <x:v>V1.0基线</x:v>
      </x:c>
      <x:c r="C10" s="31" t="str">
        <x:v>I14–I17</x:v>
      </x:c>
      <x:c r="D10" s="29" t="str">
        <x:v>把物料资格、来料质量、整改、对账、发票和付款状态纳入同一事实链。</x:v>
      </x:c>
      <x:c r="E10" s="29" t="str">
        <x:v>物料资格、样件试制、量产认可、IQC、质量异常/8D、对账、发票、请款和付款回传</x:v>
      </x:c>
      <x:c r="F10" s="29" t="str">
        <x:v>阶段4订单、收货和退货事实可用；质量/结算权威边界已决策</x:v>
      </x:c>
      <x:c r="G10" s="29" t="str">
        <x:v>质量影响供应源和可结算数量的闭环</x:v>
      </x:c>
      <x:c r="H10" s="29" t="str">
        <x:v>质量结论可限制供应源并影响结算；对账到付款状态分离且可追溯</x:v>
      </x:c>
      <x:c r="I10" s="29" t="str">
        <x:v>阶段4；D-006、D-007</x:v>
      </x:c>
      <x:c r="J10" s="31" t="n">
        <x:f>COUNTIF('开发任务总表'!$C$6:$C$146,A10)</x:f>
        <x:v>20</x:v>
      </x:c>
      <x:c r="K10" s="31" t="n">
        <x:f>COUNTIFS('开发任务总表'!$C$6:$C$146,A10,'开发任务总表'!$M$6:$M$146,"P0")</x:f>
        <x:v>18</x:v>
      </x:c>
      <x:c r="L10" s="31" t="n">
        <x:f>COUNTIFS('开发任务总表'!$C$6:$C$146,A10,'开发任务总表'!$T$6:$T$146,"已完成")</x:f>
        <x:v>0</x:v>
      </x:c>
      <x:c r="M10" s="35" t="n">
        <x:f>IF(J10=0,0,L10/J10)</x:f>
        <x:v>0</x:v>
      </x:c>
      <x:c r="N10" s="31" t="str">
        <x:f>IF(L10=J10,"已完成",IF(COUNTIFS('开发任务总表'!$C$6:$C$146,A10,'开发任务总表'!$T$6:$T$146,"已阻塞")&gt;0,"已阻塞",IF(COUNTIFS('开发任务总表'!$C$6:$C$146,A10,'开发任务总表'!$T$6:$T$146,"进行中")+COUNTIFS('开发任务总表'!$C$6:$C$146,A10,'开发任务总表'!$T$6:$T$146,"待复核")+COUNTIFS('开发任务总表'!$C$6:$C$146,A10,'开发任务总表'!$T$6:$T$146,"待验收")&gt;0,"进行中","未开始")))</x:f>
        <x:v>未开始</x:v>
      </x:c>
      <x:c r="O10" s="29" t="str"/>
    </x:row>
    <x:row r="11" ht="64" customHeight="1">
      <x:c r="A11" s="31" t="str">
        <x:v>阶段6：绩效风险与优化</x:v>
      </x:c>
      <x:c r="B11" s="31" t="str">
        <x:v>V1.0基线</x:v>
      </x:c>
      <x:c r="C11" s="31" t="str">
        <x:v>I18–I20</x:v>
      </x:c>
      <x:c r="D11" s="29" t="str">
        <x:v>基于执行事实形成评分、风险、改善和供应决策，并完成V1.0上线验收。</x:v>
      </x:c>
      <x:c r="E11" s="29" t="str">
        <x:v>指标模型、评分评级、风险预警、改善计划、供应决策、配额治理、管理工作台和上线准备</x:v>
      </x:c>
      <x:c r="F11" s="29" t="str">
        <x:v>阶段4–5积累可用业务事实</x:v>
      </x:c>
      <x:c r="G11" s="29" t="str">
        <x:v>V1.0全流程治理闭环与正式发布</x:v>
      </x:c>
      <x:c r="H11" s="29" t="str">
        <x:v>绩效风险可反向触发限制、份额和第二供应源；总体验收与上线条件通过</x:v>
      </x:c>
      <x:c r="I11" s="29" t="str">
        <x:v>阶段4、阶段5</x:v>
      </x:c>
      <x:c r="J11" s="31" t="n">
        <x:f>COUNTIF('开发任务总表'!$C$6:$C$146,A11)</x:f>
        <x:v>16</x:v>
      </x:c>
      <x:c r="K11" s="31" t="n">
        <x:f>COUNTIFS('开发任务总表'!$C$6:$C$146,A11,'开发任务总表'!$M$6:$M$146,"P0")</x:f>
        <x:v>14</x:v>
      </x:c>
      <x:c r="L11" s="31" t="n">
        <x:f>COUNTIFS('开发任务总表'!$C$6:$C$146,A11,'开发任务总表'!$T$6:$T$146,"已完成")</x:f>
        <x:v>0</x:v>
      </x:c>
      <x:c r="M11" s="35" t="n">
        <x:f>IF(J11=0,0,L11/J11)</x:f>
        <x:v>0</x:v>
      </x:c>
      <x:c r="N11" s="31" t="str">
        <x:f>IF(L11=J11,"已完成",IF(COUNTIFS('开发任务总表'!$C$6:$C$146,A11,'开发任务总表'!$T$6:$T$146,"已阻塞")&gt;0,"已阻塞",IF(COUNTIFS('开发任务总表'!$C$6:$C$146,A11,'开发任务总表'!$T$6:$T$146,"进行中")+COUNTIFS('开发任务总表'!$C$6:$C$146,A11,'开发任务总表'!$T$6:$T$146,"待复核")+COUNTIFS('开发任务总表'!$C$6:$C$146,A11,'开发任务总表'!$T$6:$T$146,"待验收")&gt;0,"进行中","未开始")))</x:f>
        <x:v>未开始</x:v>
      </x:c>
      <x:c r="O11" s="29" t="str"/>
    </x:row>
    <x:row r="12" ht="64" customHeight="1">
      <x:c r="A12" s="31" t="str">
        <x:v>阶段7：高级制造协同</x:v>
      </x:c>
      <x:c r="B12" s="31" t="str">
        <x:v>高级储备（不计入V1.0上线）</x:v>
      </x:c>
      <x:c r="C12" s="31" t="str">
        <x:v>I21+（按需）</x:v>
      </x:c>
      <x:c r="D12" s="29" t="str">
        <x:v>在真实业务量和企业需求明确后扩展高级直接物料协同能力。</x:v>
      </x:c>
      <x:c r="E12" s="29" t="str">
        <x:v>预测承诺、计划协议、产能、VMI/寄售、APQP/PPAP、竞价、成本、电子签、AI与ESG</x:v>
      </x:c>
      <x:c r="F12" s="29" t="str">
        <x:v>V1.0稳定运行；有明确业务价值和数据基础</x:v>
      </x:c>
      <x:c r="G12" s="29" t="str">
        <x:v>按专题立项交付</x:v>
      </x:c>
      <x:c r="H12" s="29" t="str">
        <x:v>单项能力按独立业务价值验收，不作为V1.0发布阻断项</x:v>
      </x:c>
      <x:c r="I12" s="29" t="str">
        <x:v>阶段6及对应真实业务需求</x:v>
      </x:c>
      <x:c r="J12" s="31" t="n">
        <x:f>COUNTIF('开发任务总表'!$C$6:$C$146,A12)</x:f>
        <x:v>10</x:v>
      </x:c>
      <x:c r="K12" s="31" t="n">
        <x:f>COUNTIFS('开发任务总表'!$C$6:$C$146,A12,'开发任务总表'!$M$6:$M$146,"P0")</x:f>
        <x:v>0</x:v>
      </x:c>
      <x:c r="L12" s="31" t="n">
        <x:f>COUNTIFS('开发任务总表'!$C$6:$C$146,A12,'开发任务总表'!$T$6:$T$146,"已完成")</x:f>
        <x:v>0</x:v>
      </x:c>
      <x:c r="M12" s="35" t="n">
        <x:f>IF(J12=0,0,L12/J12)</x:f>
        <x:v>0</x:v>
      </x:c>
      <x:c r="N12" s="31" t="str">
        <x:f>IF(L12=J12,"已完成",IF(COUNTIFS('开发任务总表'!$C$6:$C$146,A12,'开发任务总表'!$T$6:$T$146,"已阻塞")&gt;0,"已阻塞",IF(COUNTIFS('开发任务总表'!$C$6:$C$146,A12,'开发任务总表'!$T$6:$T$146,"进行中")+COUNTIFS('开发任务总表'!$C$6:$C$146,A12,'开发任务总表'!$T$6:$T$146,"待复核")+COUNTIFS('开发任务总表'!$C$6:$C$146,A12,'开发任务总表'!$T$6:$T$146,"待验收")&gt;0,"进行中","未开始")))</x:f>
        <x:v>未开始</x:v>
      </x:c>
      <x:c r="O12" s="29" t="str"/>
    </x:row>
  </x:sheetData>
  <x:mergeCells>
    <x:mergeCell ref="A1:O1"/>
    <x:mergeCell ref="A2:O2"/>
  </x:mergeCells>
  <x:conditionalFormatting sqref="N5:N12">
    <x:cfRule type="containsText" dxfId="17" priority="1" operator="containsText" text="已完成"/>
    <x:cfRule type="containsText" dxfId="18" priority="2" operator="containsText" text="进行中"/>
    <x:cfRule type="containsText" dxfId="19" priority="3" operator="containsText" text="已阻塞"/>
  </x:conditionalFormatting>
  <x:conditionalFormatting sqref="B5:B12">
    <x:cfRule type="containsText" dxfId="20" priority="4" operator="containsText" text="高级储备"/>
  </x:conditionalFormatting>
  <x:conditionalFormatting sqref="M5:M12">
    <x:cfRule type="dataBar" priority="5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{4F25B5BA-DF11-8E51-A4E5-0CF82128BEDC}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342b395ee53479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4F25B5BA-DF11-8E51-A4E5-0CF82128BEDC}">
            <x14:dataBar gradient="1">
              <x14:cfvo type="min"/>
              <x14:cfvo type="max"/>
              <x14:fillColor rgb="FF0F766E"/>
            </x14:dataBar>
          </x14:cfRule>
          <xm:sqref>M5:M12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25" hidden="0" customWidth="1"/>
    <x:col min="4" max="4" width="18" hidden="0" customWidth="1"/>
    <x:col min="5" max="5" width="20" hidden="0" customWidth="1"/>
    <x:col min="6" max="6" width="20" hidden="0" customWidth="1"/>
    <x:col min="7" max="7" width="24" hidden="0" customWidth="1"/>
    <x:col min="8" max="8" width="12" hidden="0" customWidth="1"/>
    <x:col min="9" max="9" width="21" hidden="0" customWidth="1"/>
    <x:col min="10" max="10" width="46" hidden="0" customWidth="1"/>
    <x:col min="11" max="11" width="44" hidden="0" customWidth="1"/>
    <x:col min="12" max="12" width="23" hidden="0" customWidth="1"/>
    <x:col min="13" max="13" width="9" hidden="0" customWidth="1"/>
    <x:col min="14" max="14" width="9" hidden="0" customWidth="1"/>
    <x:col min="15" max="15" width="17" hidden="0" customWidth="1"/>
    <x:col min="16" max="16" width="12" hidden="0" customWidth="1"/>
    <x:col min="17" max="17" width="17" hidden="0" customWidth="1"/>
    <x:col min="18" max="18" width="12" hidden="0" customWidth="1"/>
    <x:col min="19" max="19" width="12" hidden="0" customWidth="1"/>
    <x:col min="20" max="20" width="11" hidden="0" customWidth="1"/>
    <x:col min="21" max="21" width="36" hidden="0" customWidth="1"/>
    <x:col min="22" max="22" width="48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2" hidden="0" customWidth="1"/>
    <x:col min="28" max="28" width="25" hidden="0" customWidth="1"/>
  </x:cols>
  <x:sheetData>
    <x:row r="1" ht="34" customHeight="1">
      <x:c r="A1" s="4" t="str">
        <x:v>SRM V1.0 分阶段实施与开发任务总表</x:v>
      </x:c>
      <x:c r="B1" s="4" t="str">
        <x:v>SRM V1.0 分阶段实施与开发任务总表</x:v>
      </x:c>
      <x:c r="C1" s="4" t="str">
        <x:v>SRM V1.0 分阶段实施与开发任务总表</x:v>
      </x:c>
      <x:c r="D1" s="4" t="str">
        <x:v>SRM V1.0 分阶段实施与开发任务总表</x:v>
      </x:c>
      <x:c r="E1" s="4" t="str">
        <x:v>SRM V1.0 分阶段实施与开发任务总表</x:v>
      </x:c>
      <x:c r="F1" s="4" t="str">
        <x:v>SRM V1.0 分阶段实施与开发任务总表</x:v>
      </x:c>
      <x:c r="G1" s="4" t="str">
        <x:v>SRM V1.0 分阶段实施与开发任务总表</x:v>
      </x:c>
      <x:c r="H1" s="4" t="str">
        <x:v>SRM V1.0 分阶段实施与开发任务总表</x:v>
      </x:c>
      <x:c r="I1" s="4" t="str">
        <x:v>SRM V1.0 分阶段实施与开发任务总表</x:v>
      </x:c>
      <x:c r="J1" s="4" t="str">
        <x:v>SRM V1.0 分阶段实施与开发任务总表</x:v>
      </x:c>
      <x:c r="K1" s="4" t="str">
        <x:v>SRM V1.0 分阶段实施与开发任务总表</x:v>
      </x:c>
      <x:c r="L1" s="4" t="str">
        <x:v>SRM V1.0 分阶段实施与开发任务总表</x:v>
      </x:c>
      <x:c r="M1" s="4" t="str">
        <x:v>SRM V1.0 分阶段实施与开发任务总表</x:v>
      </x:c>
      <x:c r="N1" s="4" t="str">
        <x:v>SRM V1.0 分阶段实施与开发任务总表</x:v>
      </x:c>
      <x:c r="O1" s="4" t="str">
        <x:v>SRM V1.0 分阶段实施与开发任务总表</x:v>
      </x:c>
      <x:c r="P1" s="4" t="str">
        <x:v>SRM V1.0 分阶段实施与开发任务总表</x:v>
      </x:c>
      <x:c r="Q1" s="4" t="str">
        <x:v>SRM V1.0 分阶段实施与开发任务总表</x:v>
      </x:c>
      <x:c r="R1" s="4" t="str">
        <x:v>SRM V1.0 分阶段实施与开发任务总表</x:v>
      </x:c>
      <x:c r="S1" s="4" t="str">
        <x:v>SRM V1.0 分阶段实施与开发任务总表</x:v>
      </x:c>
      <x:c r="T1" s="4" t="str">
        <x:v>SRM V1.0 分阶段实施与开发任务总表</x:v>
      </x:c>
      <x:c r="U1" s="4" t="str">
        <x:v>SRM V1.0 分阶段实施与开发任务总表</x:v>
      </x:c>
      <x:c r="V1" s="4" t="str">
        <x:v>SRM V1.0 分阶段实施与开发任务总表</x:v>
      </x:c>
      <x:c r="W1" s="4" t="str">
        <x:v>SRM V1.0 分阶段实施与开发任务总表</x:v>
      </x:c>
      <x:c r="X1" s="4" t="str">
        <x:v>SRM V1.0 分阶段实施与开发任务总表</x:v>
      </x:c>
      <x:c r="Y1" s="4" t="str">
        <x:v>SRM V1.0 分阶段实施与开发任务总表</x:v>
      </x:c>
      <x:c r="Z1" s="4" t="str">
        <x:v>SRM V1.0 分阶段实施与开发任务总表</x:v>
      </x:c>
      <x:c r="AA1" s="4" t="str">
        <x:v>SRM V1.0 分阶段实施与开发任务总表</x:v>
      </x:c>
      <x:c r="AB1" s="4" t="str">
        <x:v>SRM V1.0 分阶段实施与开发任务总表</x:v>
      </x:c>
    </x:row>
    <x:row r="2" ht="22" customHeight="1">
      <x:c r="A2" s="8" t="str">
        <x:v>设计基线：SRM供应商协同管理系统蓝图与总体设计说明书 V1.0（重点对应第25–27章）</x:v>
      </x:c>
      <x:c r="B2" s="8" t="str">
        <x:v>设计基线：SRM供应商协同管理系统蓝图与总体设计说明书 V1.0（重点对应第25–27章）</x:v>
      </x:c>
      <x:c r="C2" s="8" t="str">
        <x:v>设计基线：SRM供应商协同管理系统蓝图与总体设计说明书 V1.0（重点对应第25–27章）</x:v>
      </x:c>
      <x:c r="D2" s="8" t="str">
        <x:v>设计基线：SRM供应商协同管理系统蓝图与总体设计说明书 V1.0（重点对应第25–27章）</x:v>
      </x:c>
      <x:c r="E2" s="8" t="str">
        <x:v>设计基线：SRM供应商协同管理系统蓝图与总体设计说明书 V1.0（重点对应第25–27章）</x:v>
      </x:c>
      <x:c r="F2" s="8" t="str">
        <x:v>设计基线：SRM供应商协同管理系统蓝图与总体设计说明书 V1.0（重点对应第25–27章）</x:v>
      </x:c>
      <x:c r="G2" s="8" t="str">
        <x:v>设计基线：SRM供应商协同管理系统蓝图与总体设计说明书 V1.0（重点对应第25–27章）</x:v>
      </x:c>
      <x:c r="H2" s="8" t="str">
        <x:v>设计基线：SRM供应商协同管理系统蓝图与总体设计说明书 V1.0（重点对应第25–27章）</x:v>
      </x:c>
      <x:c r="I2" s="8" t="str">
        <x:v>设计基线：SRM供应商协同管理系统蓝图与总体设计说明书 V1.0（重点对应第25–27章）</x:v>
      </x:c>
      <x:c r="J2" s="8" t="str">
        <x:v>设计基线：SRM供应商协同管理系统蓝图与总体设计说明书 V1.0（重点对应第25–27章）</x:v>
      </x:c>
      <x:c r="K2" s="8" t="str">
        <x:v>设计基线：SRM供应商协同管理系统蓝图与总体设计说明书 V1.0（重点对应第25–27章）</x:v>
      </x:c>
      <x:c r="L2" s="8" t="str">
        <x:v>设计基线：SRM供应商协同管理系统蓝图与总体设计说明书 V1.0（重点对应第25–27章）</x:v>
      </x:c>
      <x:c r="M2" s="8" t="str">
        <x:v>设计基线：SRM供应商协同管理系统蓝图与总体设计说明书 V1.0（重点对应第25–27章）</x:v>
      </x:c>
      <x:c r="N2" s="8" t="str">
        <x:v>设计基线：SRM供应商协同管理系统蓝图与总体设计说明书 V1.0（重点对应第25–27章）</x:v>
      </x:c>
      <x:c r="O2" s="8" t="str">
        <x:v>设计基线：SRM供应商协同管理系统蓝图与总体设计说明书 V1.0（重点对应第25–27章）</x:v>
      </x:c>
      <x:c r="P2" s="8" t="str">
        <x:v>设计基线：SRM供应商协同管理系统蓝图与总体设计说明书 V1.0（重点对应第25–27章）</x:v>
      </x:c>
      <x:c r="Q2" s="8" t="str">
        <x:v>设计基线：SRM供应商协同管理系统蓝图与总体设计说明书 V1.0（重点对应第25–27章）</x:v>
      </x:c>
      <x:c r="R2" s="8" t="str">
        <x:v>设计基线：SRM供应商协同管理系统蓝图与总体设计说明书 V1.0（重点对应第25–27章）</x:v>
      </x:c>
      <x:c r="S2" s="8" t="str">
        <x:v>设计基线：SRM供应商协同管理系统蓝图与总体设计说明书 V1.0（重点对应第25–27章）</x:v>
      </x:c>
      <x:c r="T2" s="8" t="str">
        <x:v>设计基线：SRM供应商协同管理系统蓝图与总体设计说明书 V1.0（重点对应第25–27章）</x:v>
      </x:c>
      <x:c r="U2" s="8" t="str">
        <x:v>设计基线：SRM供应商协同管理系统蓝图与总体设计说明书 V1.0（重点对应第25–27章）</x:v>
      </x:c>
      <x:c r="V2" s="8" t="str">
        <x:v>设计基线：SRM供应商协同管理系统蓝图与总体设计说明书 V1.0（重点对应第25–27章）</x:v>
      </x:c>
      <x:c r="W2" s="8" t="str">
        <x:v>设计基线：SRM供应商协同管理系统蓝图与总体设计说明书 V1.0（重点对应第25–27章）</x:v>
      </x:c>
      <x:c r="X2" s="8" t="str">
        <x:v>设计基线：SRM供应商协同管理系统蓝图与总体设计说明书 V1.0（重点对应第25–27章）</x:v>
      </x:c>
      <x:c r="Y2" s="8" t="str">
        <x:v>设计基线：SRM供应商协同管理系统蓝图与总体设计说明书 V1.0（重点对应第25–27章）</x:v>
      </x:c>
      <x:c r="Z2" s="8" t="str">
        <x:v>设计基线：SRM供应商协同管理系统蓝图与总体设计说明书 V1.0（重点对应第25–27章）</x:v>
      </x:c>
      <x:c r="AA2" s="8" t="str">
        <x:v>设计基线：SRM供应商协同管理系统蓝图与总体设计说明书 V1.0（重点对应第25–27章）</x:v>
      </x:c>
      <x:c r="AB2" s="8" t="str">
        <x:v>设计基线：SRM供应商协同管理系统蓝图与总体设计说明书 V1.0（重点对应第25–27章）</x:v>
      </x:c>
    </x:row>
    <x:row r="3">
      <x:c r="A3" s="11" t="str">
        <x:v>动态统计</x:v>
      </x:c>
      <x:c r="B3" s="11" t="str">
        <x:f>"V1.0任务 "&amp;COUNTIF('开发任务总表'!$D$6:$D$146,"V1.0基线")&amp;" 项"</x:f>
        <x:v>V1.0任务 131 项</x:v>
      </x:c>
      <x:c r="C3" s="11"/>
      <x:c r="D3" s="11" t="str">
        <x:f>"已完成 "&amp;COUNTIFS('开发任务总表'!$D$6:$D$146,"V1.0基线",'开发任务总表'!$T$6:$T$146,"已完成")&amp;" 项"</x:f>
        <x:v>已完成 2 项</x:v>
      </x:c>
      <x:c r="E3" s="11"/>
      <x:c r="F3" s="11" t="str">
        <x:f>"总进度 "&amp;TEXT(IFERROR(COUNTIFS('开发任务总表'!$D$6:$D$146,"V1.0基线",'开发任务总表'!$T$6:$T$146,"已完成")/COUNTIF('开发任务总表'!$D$6:$D$146,"V1.0基线"),0),"0.0%")</x:f>
        <x:v>总进度 1.5%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</x:row>
    <x:row r="4" ht="28" customHeight="1">
      <x:c r="A4" s="16" t="str">
        <x:v>标识</x:v>
      </x:c>
      <x:c r="B4" s="16" t="str">
        <x:v>标识</x:v>
      </x:c>
      <x:c r="C4" s="16" t="str">
        <x:v>阶段范围</x:v>
      </x:c>
      <x:c r="D4" s="16" t="str">
        <x:v>阶段范围</x:v>
      </x:c>
      <x:c r="E4" s="16" t="str">
        <x:v>业务范围</x:v>
      </x:c>
      <x:c r="F4" s="16" t="str">
        <x:v>业务范围</x:v>
      </x:c>
      <x:c r="G4" s="16" t="str">
        <x:v>开发切片</x:v>
      </x:c>
      <x:c r="H4" s="16" t="str">
        <x:v>开发切片</x:v>
      </x:c>
      <x:c r="I4" s="16" t="str">
        <x:v>开发切片</x:v>
      </x:c>
      <x:c r="J4" s="16" t="str">
        <x:v>任务定义</x:v>
      </x:c>
      <x:c r="K4" s="16" t="str">
        <x:v>任务定义</x:v>
      </x:c>
      <x:c r="L4" s="16" t="str">
        <x:v>任务定义</x:v>
      </x:c>
      <x:c r="M4" s="16" t="str">
        <x:v>计划控制</x:v>
      </x:c>
      <x:c r="N4" s="16" t="str">
        <x:v>计划控制</x:v>
      </x:c>
      <x:c r="O4" s="16" t="str">
        <x:v>计划控制</x:v>
      </x:c>
      <x:c r="P4" s="16" t="str">
        <x:v>计划控制</x:v>
      </x:c>
      <x:c r="Q4" s="16" t="str">
        <x:v>计划控制</x:v>
      </x:c>
      <x:c r="R4" s="16" t="str">
        <x:v>执行跟踪</x:v>
      </x:c>
      <x:c r="S4" s="16" t="str">
        <x:v>执行跟踪</x:v>
      </x:c>
      <x:c r="T4" s="16" t="str">
        <x:v>执行跟踪</x:v>
      </x:c>
      <x:c r="U4" s="16" t="str">
        <x:v>交付验收</x:v>
      </x:c>
      <x:c r="V4" s="16" t="str">
        <x:v>交付验收</x:v>
      </x:c>
      <x:c r="W4" s="16" t="str">
        <x:v>质量闸门</x:v>
      </x:c>
      <x:c r="X4" s="16" t="str">
        <x:v>质量闸门</x:v>
      </x:c>
      <x:c r="Y4" s="16" t="str">
        <x:v>质量闸门</x:v>
      </x:c>
      <x:c r="Z4" s="16" t="str">
        <x:v>质量闸门</x:v>
      </x:c>
      <x:c r="AA4" s="16" t="str">
        <x:v>执行跟踪</x:v>
      </x:c>
      <x:c r="AB4" s="16" t="str">
        <x:v>补充</x:v>
      </x:c>
    </x:row>
    <x:row r="5" ht="28" customHeight="1">
      <x:c r="A5" s="22" t="str">
        <x:v>序号</x:v>
      </x:c>
      <x:c r="B5" s="22" t="str">
        <x:v>任务ID</x:v>
      </x:c>
      <x:c r="C5" s="22" t="str">
        <x:v>阶段</x:v>
      </x:c>
      <x:c r="D5" s="22" t="str">
        <x:v>V1.0范围</x:v>
      </x:c>
      <x:c r="E5" s="22" t="str">
        <x:v>一级业务域</x:v>
      </x:c>
      <x:c r="F5" s="22" t="str">
        <x:v>二级功能</x:v>
      </x:c>
      <x:c r="G5" s="22" t="str">
        <x:v>开发切片</x:v>
      </x:c>
      <x:c r="H5" s="22" t="str">
        <x:v>任务类型</x:v>
      </x:c>
      <x:c r="I5" s="22" t="str">
        <x:v>建议代码域</x:v>
      </x:c>
      <x:c r="J5" s="22" t="str">
        <x:v>任务说明</x:v>
      </x:c>
      <x:c r="K5" s="22" t="str">
        <x:v>关键业务规则/控制点</x:v>
      </x:c>
      <x:c r="L5" s="22" t="str">
        <x:v>前置依赖</x:v>
      </x:c>
      <x:c r="M5" s="22" t="str">
        <x:v>优先级</x:v>
      </x:c>
      <x:c r="N5" s="22" t="str">
        <x:v>复杂度</x:v>
      </x:c>
      <x:c r="O5" s="22" t="str">
        <x:v>建议执行方</x:v>
      </x:c>
      <x:c r="P5" s="22" t="str">
        <x:v>计划迭代</x:v>
      </x:c>
      <x:c r="Q5" s="22" t="str">
        <x:v>并行组</x:v>
      </x:c>
      <x:c r="R5" s="22" t="str">
        <x:v>计划开始</x:v>
      </x:c>
      <x:c r="S5" s="22" t="str">
        <x:v>计划完成</x:v>
      </x:c>
      <x:c r="T5" s="22" t="str">
        <x:v>状态</x:v>
      </x:c>
      <x:c r="U5" s="22" t="str">
        <x:v>交付物</x:v>
      </x:c>
      <x:c r="V5" s="22" t="str">
        <x:v>验收标准</x:v>
      </x:c>
      <x:c r="W5" s="22" t="str">
        <x:v>Codex复核</x:v>
      </x:c>
      <x:c r="X5" s="22" t="str">
        <x:v>构建验证</x:v>
      </x:c>
      <x:c r="Y5" s="22" t="str">
        <x:v>Git提交</x:v>
      </x:c>
      <x:c r="Z5" s="22" t="str">
        <x:v>部署验证</x:v>
      </x:c>
      <x:c r="AA5" s="22" t="str">
        <x:v>实际完成</x:v>
      </x:c>
      <x:c r="AB5" s="22" t="str">
        <x:v>备注</x:v>
      </x:c>
    </x:row>
    <x:row r="6" ht="42" customHeight="1">
      <x:c r="A6" s="30" t="n">
        <x:v>1</x:v>
      </x:c>
      <x:c r="B6" s="30" t="str">
        <x:v>S0-001</x:v>
      </x:c>
      <x:c r="C6" s="30" t="str">
        <x:v>阶段0：设计与工程基线</x:v>
      </x:c>
      <x:c r="D6" s="30" t="str">
        <x:v>V1.0基线</x:v>
      </x:c>
      <x:c r="E6" s="30" t="str">
        <x:v>总体设计</x:v>
      </x:c>
      <x:c r="F6" s="30" t="str">
        <x:v>蓝图基线</x:v>
      </x:c>
      <x:c r="G6" s="30" t="str">
        <x:v>总体蓝图评审定版</x:v>
      </x:c>
      <x:c r="H6" s="30" t="str">
        <x:v>设计</x:v>
      </x:c>
      <x:c r="I6" s="28" t="str">
        <x:v>docs/blueprint</x:v>
      </x:c>
      <x:c r="J6" s="28" t="str">
        <x:v>将已通过评审的V1.0蓝图作为新SRM唯一总体设计基线。</x:v>
      </x:c>
      <x:c r="K6" s="28" t="str">
        <x:v>旧SCM仅作为技术资产参考，不沿用其一级模块与计划业务主线。</x:v>
      </x:c>
      <x:c r="L6" s="28" t="str">
        <x:v>无</x:v>
      </x:c>
      <x:c r="M6" s="30" t="str">
        <x:v>P0</x:v>
      </x:c>
      <x:c r="N6" s="30" t="str">
        <x:v>M</x:v>
      </x:c>
      <x:c r="O6" s="30" t="str">
        <x:v>产品/架构</x:v>
      </x:c>
      <x:c r="P6" s="30" t="str">
        <x:v>I00</x:v>
      </x:c>
      <x:c r="Q6" s="30" t="str">
        <x:v>S0-A 业务设计</x:v>
      </x:c>
      <x:c r="R6" s="32"/>
      <x:c r="S6" s="32"/>
      <x:c r="T6" s="30" t="str">
        <x:v>已完成</x:v>
      </x:c>
      <x:c r="U6" s="28" t="str">
        <x:v>《SRM供应商协同管理系统蓝图与总体设计说明书_V1.0》</x:v>
      </x:c>
      <x:c r="V6" s="28" t="str">
        <x:v>用户评审确认通过；12个业务域、双循环、批准供应源与系统边界已锁定</x:v>
      </x:c>
      <x:c r="W6" s="30" t="str">
        <x:v>通过</x:v>
      </x:c>
      <x:c r="X6" s="30" t="str">
        <x:v>不适用</x:v>
      </x:c>
      <x:c r="Y6" s="30" t="str">
        <x:v>不适用</x:v>
      </x:c>
      <x:c r="Z6" s="30" t="str">
        <x:v>不适用</x:v>
      </x:c>
      <x:c r="AA6" s="32"/>
      <x:c r="AB6" s="28" t="str"/>
    </x:row>
    <x:row r="7" ht="42" customHeight="1">
      <x:c r="A7" s="31" t="n">
        <x:v>2</x:v>
      </x:c>
      <x:c r="B7" s="31" t="str">
        <x:v>S0-002</x:v>
      </x:c>
      <x:c r="C7" s="31" t="str">
        <x:v>阶段0：设计与工程基线</x:v>
      </x:c>
      <x:c r="D7" s="31" t="str">
        <x:v>V1.0基线</x:v>
      </x:c>
      <x:c r="E7" s="31" t="str">
        <x:v>总体设计</x:v>
      </x:c>
      <x:c r="F7" s="31" t="str">
        <x:v>实施规划</x:v>
      </x:c>
      <x:c r="G7" s="31" t="str">
        <x:v>分阶段实施与开发任务总表</x:v>
      </x:c>
      <x:c r="H7" s="31" t="str">
        <x:v>设计</x:v>
      </x:c>
      <x:c r="I7" s="29" t="str">
        <x:v>docs/planning</x:v>
      </x:c>
      <x:c r="J7" s="29" t="str">
        <x:v>把总体蓝图转为可分派、可跟踪、可验收的阶段任务包。</x:v>
      </x:c>
      <x:c r="K7" s="29" t="str">
        <x:v>阶段7明确为高级储备，不计入V1.0上线完成条件。</x:v>
      </x:c>
      <x:c r="L7" s="29" t="str">
        <x:v>S0-001</x:v>
      </x:c>
      <x:c r="M7" s="31" t="str">
        <x:v>P0</x:v>
      </x:c>
      <x:c r="N7" s="31" t="str">
        <x:v>M</x:v>
      </x:c>
      <x:c r="O7" s="31" t="str">
        <x:v>产品/架构</x:v>
      </x:c>
      <x:c r="P7" s="31" t="str">
        <x:v>I00</x:v>
      </x:c>
      <x:c r="Q7" s="31" t="str">
        <x:v>S0-A 业务设计</x:v>
      </x:c>
      <x:c r="R7" s="33"/>
      <x:c r="S7" s="33"/>
      <x:c r="T7" s="31" t="str">
        <x:v>已完成</x:v>
      </x:c>
      <x:c r="U7" s="29" t="str">
        <x:v>《SRM_V1.0分阶段实施与开发任务总表.xlsx》</x:v>
      </x:c>
      <x:c r="V7" s="29" t="str">
        <x:v>阶段、依赖、优先级、交付物和验收标准完整；公式与版式校验通过</x:v>
      </x:c>
      <x:c r="W7" s="31" t="str">
        <x:v>通过</x:v>
      </x:c>
      <x:c r="X7" s="31" t="str">
        <x:v>不适用</x:v>
      </x:c>
      <x:c r="Y7" s="31" t="str">
        <x:v>不适用</x:v>
      </x:c>
      <x:c r="Z7" s="31" t="str">
        <x:v>不适用</x:v>
      </x:c>
      <x:c r="AA7" s="33"/>
      <x:c r="AB7" s="29" t="str"/>
    </x:row>
    <x:row r="8" ht="42" customHeight="1">
      <x:c r="A8" s="31" t="n">
        <x:v>3</x:v>
      </x:c>
      <x:c r="B8" s="31" t="str">
        <x:v>S0-003</x:v>
      </x:c>
      <x:c r="C8" s="31" t="str">
        <x:v>阶段0：设计与工程基线</x:v>
      </x:c>
      <x:c r="D8" s="31" t="str">
        <x:v>V1.0基线</x:v>
      </x:c>
      <x:c r="E8" s="31" t="str">
        <x:v>总体设计</x:v>
      </x:c>
      <x:c r="F8" s="31" t="str">
        <x:v>领域建模</x:v>
      </x:c>
      <x:c r="G8" s="31" t="str">
        <x:v>领域词汇与核心对象边界</x:v>
      </x:c>
      <x:c r="H8" s="31" t="str">
        <x:v>设计</x:v>
      </x:c>
      <x:c r="I8" s="29" t="str">
        <x:v>docs/domain</x:v>
      </x:c>
      <x:c r="J8" s="29" t="str">
        <x:v>定义供应商主体、站点、资格、采购依据、价格、供应源、需求、分配、PO、ASN、质量和结算对象。</x:v>
      </x:c>
      <x:c r="K8" s="29" t="str">
        <x:v>不得以单一“合格供应商”状态替代主体、物料资格和交易资格。</x:v>
      </x:c>
      <x:c r="L8" s="29" t="str">
        <x:v>S0-001</x:v>
      </x:c>
      <x:c r="M8" s="31" t="str">
        <x:v>P0</x:v>
      </x:c>
      <x:c r="N8" s="31" t="str">
        <x:v>L</x:v>
      </x:c>
      <x:c r="O8" s="31" t="str">
        <x:v>产品/架构</x:v>
      </x:c>
      <x:c r="P8" s="31" t="str">
        <x:v>I00</x:v>
      </x:c>
      <x:c r="Q8" s="31" t="str">
        <x:v>S0-A 业务设计</x:v>
      </x:c>
      <x:c r="R8" s="33"/>
      <x:c r="S8" s="33"/>
      <x:c r="T8" s="31" t="str">
        <x:v>未开始</x:v>
      </x:c>
      <x:c r="U8" s="29" t="str">
        <x:v>《领域词汇与核心对象边界详细设计》及矩阵/模型</x:v>
      </x:c>
      <x:c r="V8" s="29" t="str">
        <x:v>范围、对象、状态、权限、异常和验收口径评审通过；不存在关键歧义</x:v>
      </x:c>
      <x:c r="W8" s="31" t="str">
        <x:v>待执行</x:v>
      </x:c>
      <x:c r="X8" s="31" t="str">
        <x:v>不适用</x:v>
      </x:c>
      <x:c r="Y8" s="31" t="str">
        <x:v>不适用</x:v>
      </x:c>
      <x:c r="Z8" s="31" t="str">
        <x:v>不适用</x:v>
      </x:c>
      <x:c r="AA8" s="33"/>
      <x:c r="AB8" s="29" t="str"/>
    </x:row>
    <x:row r="9" ht="42" customHeight="1">
      <x:c r="A9" s="31" t="n">
        <x:v>4</x:v>
      </x:c>
      <x:c r="B9" s="31" t="str">
        <x:v>S0-004</x:v>
      </x:c>
      <x:c r="C9" s="31" t="str">
        <x:v>阶段0：设计与工程基线</x:v>
      </x:c>
      <x:c r="D9" s="31" t="str">
        <x:v>V1.0基线</x:v>
      </x:c>
      <x:c r="E9" s="31" t="str">
        <x:v>总体设计</x:v>
      </x:c>
      <x:c r="F9" s="31" t="str">
        <x:v>状态治理</x:v>
      </x:c>
      <x:c r="G9" s="31" t="str">
        <x:v>核心单据状态机与动作矩阵</x:v>
      </x:c>
      <x:c r="H9" s="31" t="str">
        <x:v>设计</x:v>
      </x:c>
      <x:c r="I9" s="29" t="str">
        <x:v>docs/domain</x:v>
      </x:c>
      <x:c r="J9" s="29" t="str">
        <x:v>固化各聚合状态、允许动作、审批映射、撤回/驳回/取消和异常恢复。</x:v>
      </x:c>
      <x:c r="K9" s="29" t="str">
        <x:v>业务状态与流程状态、集成状态分离；关键版本不得覆盖历史。</x:v>
      </x:c>
      <x:c r="L9" s="29" t="str">
        <x:v>S0-003</x:v>
      </x:c>
      <x:c r="M9" s="31" t="str">
        <x:v>P0</x:v>
      </x:c>
      <x:c r="N9" s="31" t="str">
        <x:v>XL</x:v>
      </x:c>
      <x:c r="O9" s="31" t="str">
        <x:v>产品/架构</x:v>
      </x:c>
      <x:c r="P9" s="31" t="str">
        <x:v>I00</x:v>
      </x:c>
      <x:c r="Q9" s="31" t="str">
        <x:v>S0-A 业务设计</x:v>
      </x:c>
      <x:c r="R9" s="33"/>
      <x:c r="S9" s="33"/>
      <x:c r="T9" s="31" t="str">
        <x:v>未开始</x:v>
      </x:c>
      <x:c r="U9" s="29" t="str">
        <x:v>《核心单据状态机与动作矩阵详细设计》及矩阵/模型</x:v>
      </x:c>
      <x:c r="V9" s="29" t="str">
        <x:v>范围、对象、状态、权限、异常和验收口径评审通过；不存在关键歧义</x:v>
      </x:c>
      <x:c r="W9" s="31" t="str">
        <x:v>待执行</x:v>
      </x:c>
      <x:c r="X9" s="31" t="str">
        <x:v>不适用</x:v>
      </x:c>
      <x:c r="Y9" s="31" t="str">
        <x:v>不适用</x:v>
      </x:c>
      <x:c r="Z9" s="31" t="str">
        <x:v>不适用</x:v>
      </x:c>
      <x:c r="AA9" s="33"/>
      <x:c r="AB9" s="29" t="str"/>
    </x:row>
    <x:row r="10" ht="42" customHeight="1">
      <x:c r="A10" s="31" t="n">
        <x:v>5</x:v>
      </x:c>
      <x:c r="B10" s="31" t="str">
        <x:v>S0-005</x:v>
      </x:c>
      <x:c r="C10" s="31" t="str">
        <x:v>阶段0：设计与工程基线</x:v>
      </x:c>
      <x:c r="D10" s="31" t="str">
        <x:v>V1.0基线</x:v>
      </x:c>
      <x:c r="E10" s="31" t="str">
        <x:v>系统管理</x:v>
      </x:c>
      <x:c r="F10" s="31" t="str">
        <x:v>权限设计</x:v>
      </x:c>
      <x:c r="G10" s="31" t="str">
        <x:v>菜单页面与角色权限矩阵</x:v>
      </x:c>
      <x:c r="H10" s="31" t="str">
        <x:v>设计</x:v>
      </x:c>
      <x:c r="I10" s="29" t="str">
        <x:v>docs/security</x:v>
      </x:c>
      <x:c r="J10" s="29" t="str">
        <x:v>定义内部/供应商门户菜单、按钮、字段权限、角色挂载用户和多维数据范围。</x:v>
      </x:c>
      <x:c r="K10" s="29" t="str">
        <x:v>供应商主体/站点后端强制隔离；关键职责分离。</x:v>
      </x:c>
      <x:c r="L10" s="29" t="str">
        <x:v>S0-003</x:v>
      </x:c>
      <x:c r="M10" s="31" t="str">
        <x:v>P0</x:v>
      </x:c>
      <x:c r="N10" s="31" t="str">
        <x:v>L</x:v>
      </x:c>
      <x:c r="O10" s="31" t="str">
        <x:v>产品/架构</x:v>
      </x:c>
      <x:c r="P10" s="31" t="str">
        <x:v>I00</x:v>
      </x:c>
      <x:c r="Q10" s="31" t="str">
        <x:v>S0-B 平台设计</x:v>
      </x:c>
      <x:c r="R10" s="33"/>
      <x:c r="S10" s="33"/>
      <x:c r="T10" s="31" t="str">
        <x:v>未开始</x:v>
      </x:c>
      <x:c r="U10" s="29" t="str">
        <x:v>《菜单页面与角色权限矩阵详细设计》及矩阵/模型</x:v>
      </x:c>
      <x:c r="V10" s="29" t="str">
        <x:v>范围、对象、状态、权限、异常和验收口径评审通过；不存在关键歧义</x:v>
      </x:c>
      <x:c r="W10" s="31" t="str">
        <x:v>待执行</x:v>
      </x:c>
      <x:c r="X10" s="31" t="str">
        <x:v>不适用</x:v>
      </x:c>
      <x:c r="Y10" s="31" t="str">
        <x:v>不适用</x:v>
      </x:c>
      <x:c r="Z10" s="31" t="str">
        <x:v>不适用</x:v>
      </x:c>
      <x:c r="AA10" s="33"/>
      <x:c r="AB10" s="29" t="str"/>
    </x:row>
    <x:row r="11" ht="42" customHeight="1">
      <x:c r="A11" s="31" t="n">
        <x:v>6</x:v>
      </x:c>
      <x:c r="B11" s="31" t="str">
        <x:v>S0-006</x:v>
      </x:c>
      <x:c r="C11" s="31" t="str">
        <x:v>阶段0：设计与工程基线</x:v>
      </x:c>
      <x:c r="D11" s="31" t="str">
        <x:v>V1.0基线</x:v>
      </x:c>
      <x:c r="E11" s="31" t="str">
        <x:v>基础数据中心</x:v>
      </x:c>
      <x:c r="F11" s="31" t="str">
        <x:v>主数据设计</x:v>
      </x:c>
      <x:c r="G11" s="31" t="str">
        <x:v>主数据权威源与映射设计</x:v>
      </x:c>
      <x:c r="H11" s="31" t="str">
        <x:v>设计</x:v>
      </x:c>
      <x:c r="I11" s="29" t="str">
        <x:v>docs/integration</x:v>
      </x:c>
      <x:c r="J11" s="29" t="str">
        <x:v>明确组织、采购组织、工厂、物料、品类、单位、币种、税码和地点的数据权属。</x:v>
      </x:c>
      <x:c r="K11" s="29" t="str">
        <x:v>外部主数据保留来源、外部ID、版本、同步时间和停用状态。</x:v>
      </x:c>
      <x:c r="L11" s="29" t="str">
        <x:v>S0-003</x:v>
      </x:c>
      <x:c r="M11" s="31" t="str">
        <x:v>P0</x:v>
      </x:c>
      <x:c r="N11" s="31" t="str">
        <x:v>L</x:v>
      </x:c>
      <x:c r="O11" s="31" t="str">
        <x:v>产品/架构</x:v>
      </x:c>
      <x:c r="P11" s="31" t="str">
        <x:v>I00</x:v>
      </x:c>
      <x:c r="Q11" s="31" t="str">
        <x:v>S0-B 平台设计</x:v>
      </x:c>
      <x:c r="R11" s="33"/>
      <x:c r="S11" s="33"/>
      <x:c r="T11" s="31" t="str">
        <x:v>未开始</x:v>
      </x:c>
      <x:c r="U11" s="29" t="str">
        <x:v>《主数据权威源与映射设计详细设计》及矩阵/模型</x:v>
      </x:c>
      <x:c r="V11" s="29" t="str">
        <x:v>范围、对象、状态、权限、异常和验收口径评审通过；不存在关键歧义</x:v>
      </x:c>
      <x:c r="W11" s="31" t="str">
        <x:v>待执行</x:v>
      </x:c>
      <x:c r="X11" s="31" t="str">
        <x:v>不适用</x:v>
      </x:c>
      <x:c r="Y11" s="31" t="str">
        <x:v>不适用</x:v>
      </x:c>
      <x:c r="Z11" s="31" t="str">
        <x:v>不适用</x:v>
      </x:c>
      <x:c r="AA11" s="33"/>
      <x:c r="AB11" s="29" t="str"/>
    </x:row>
    <x:row r="12" ht="42" customHeight="1">
      <x:c r="A12" s="31" t="n">
        <x:v>7</x:v>
      </x:c>
      <x:c r="B12" s="31" t="str">
        <x:v>S0-007</x:v>
      </x:c>
      <x:c r="C12" s="31" t="str">
        <x:v>阶段0：设计与工程基线</x:v>
      </x:c>
      <x:c r="D12" s="31" t="str">
        <x:v>V1.0基线</x:v>
      </x:c>
      <x:c r="E12" s="31" t="str">
        <x:v>采购协同</x:v>
      </x:c>
      <x:c r="F12" s="31" t="str">
        <x:v>PO边界</x:v>
      </x:c>
      <x:c r="G12" s="31" t="str">
        <x:v>正式PO权威模式决策</x:v>
      </x:c>
      <x:c r="H12" s="31" t="str">
        <x:v>决策</x:v>
      </x:c>
      <x:c r="I12" s="29" t="str">
        <x:v>adr/po-mode</x:v>
      </x:c>
      <x:c r="J12" s="29" t="str">
        <x:v>决定V1.0采用SRM原生PO过渡模式还是ERP正式PO权威模式。</x:v>
      </x:c>
      <x:c r="K12" s="29" t="str">
        <x:v>无论模式如何都保留source_system、external_id、external_version和切换能力。</x:v>
      </x:c>
      <x:c r="L12" s="29" t="str">
        <x:v>S0-001</x:v>
      </x:c>
      <x:c r="M12" s="31" t="str">
        <x:v>P0</x:v>
      </x:c>
      <x:c r="N12" s="31" t="str">
        <x:v>M</x:v>
      </x:c>
      <x:c r="O12" s="31" t="str">
        <x:v>业务负责人/产品</x:v>
      </x:c>
      <x:c r="P12" s="31" t="str">
        <x:v>I00</x:v>
      </x:c>
      <x:c r="Q12" s="31" t="str">
        <x:v>S0-C 关键决策</x:v>
      </x:c>
      <x:c r="R12" s="33"/>
      <x:c r="S12" s="33"/>
      <x:c r="T12" s="31" t="str">
        <x:v>未开始</x:v>
      </x:c>
      <x:c r="U12" s="29" t="str">
        <x:v>决策记录（ADR）及影响清单</x:v>
      </x:c>
      <x:c r="V12" s="29" t="str">
        <x:v>业务、产品、数据和技术影响均已确认；结论有负责人、日期和变更规则</x:v>
      </x:c>
      <x:c r="W12" s="31" t="str">
        <x:v>待执行</x:v>
      </x:c>
      <x:c r="X12" s="31" t="str">
        <x:v>不适用</x:v>
      </x:c>
      <x:c r="Y12" s="31" t="str">
        <x:v>不适用</x:v>
      </x:c>
      <x:c r="Z12" s="31" t="str">
        <x:v>不适用</x:v>
      </x:c>
      <x:c r="AA12" s="33"/>
      <x:c r="AB12" s="29" t="str"/>
    </x:row>
    <x:row r="13" ht="42" customHeight="1">
      <x:c r="A13" s="31" t="n">
        <x:v>8</x:v>
      </x:c>
      <x:c r="B13" s="31" t="str">
        <x:v>S0-008</x:v>
      </x:c>
      <x:c r="C13" s="31" t="str">
        <x:v>阶段0：设计与工程基线</x:v>
      </x:c>
      <x:c r="D13" s="31" t="str">
        <x:v>V1.0基线</x:v>
      </x:c>
      <x:c r="E13" s="31" t="str">
        <x:v>供应商管理</x:v>
      </x:c>
      <x:c r="F13" s="31" t="str">
        <x:v>治理策略</x:v>
      </x:c>
      <x:c r="G13" s="31" t="str">
        <x:v>准入与采购依据政策决策</x:v>
      </x:c>
      <x:c r="H13" s="31" t="str">
        <x:v>决策</x:v>
      </x:c>
      <x:c r="I13" s="29" t="str">
        <x:v>adr/governance</x:v>
      </x:c>
      <x:c r="J13" s="29" t="str">
        <x:v>确认风险分层准入、复审、例外，以及合同/PO条款/试制协议等采购依据策略。</x:v>
      </x:c>
      <x:c r="K13" s="29" t="str">
        <x:v>正式交易必须有覆盖当前范围和有效期的企业认可采购依据。</x:v>
      </x:c>
      <x:c r="L13" s="29" t="str">
        <x:v>S0-003</x:v>
      </x:c>
      <x:c r="M13" s="31" t="str">
        <x:v>P0</x:v>
      </x:c>
      <x:c r="N13" s="31" t="str">
        <x:v>L</x:v>
      </x:c>
      <x:c r="O13" s="31" t="str">
        <x:v>业务负责人/产品</x:v>
      </x:c>
      <x:c r="P13" s="31" t="str">
        <x:v>I00</x:v>
      </x:c>
      <x:c r="Q13" s="31" t="str">
        <x:v>S0-C 关键决策</x:v>
      </x:c>
      <x:c r="R13" s="33"/>
      <x:c r="S13" s="33"/>
      <x:c r="T13" s="31" t="str">
        <x:v>未开始</x:v>
      </x:c>
      <x:c r="U13" s="29" t="str">
        <x:v>决策记录（ADR）及影响清单</x:v>
      </x:c>
      <x:c r="V13" s="29" t="str">
        <x:v>业务、产品、数据和技术影响均已确认；结论有负责人、日期和变更规则</x:v>
      </x:c>
      <x:c r="W13" s="31" t="str">
        <x:v>待执行</x:v>
      </x:c>
      <x:c r="X13" s="31" t="str">
        <x:v>不适用</x:v>
      </x:c>
      <x:c r="Y13" s="31" t="str">
        <x:v>不适用</x:v>
      </x:c>
      <x:c r="Z13" s="31" t="str">
        <x:v>不适用</x:v>
      </x:c>
      <x:c r="AA13" s="33"/>
      <x:c r="AB13" s="29" t="str"/>
    </x:row>
    <x:row r="14" ht="42" customHeight="1">
      <x:c r="A14" s="31" t="n">
        <x:v>9</x:v>
      </x:c>
      <x:c r="B14" s="31" t="str">
        <x:v>S0-009</x:v>
      </x:c>
      <x:c r="C14" s="31" t="str">
        <x:v>阶段0：设计与工程基线</x:v>
      </x:c>
      <x:c r="D14" s="31" t="str">
        <x:v>V1.0基线</x:v>
      </x:c>
      <x:c r="E14" s="31" t="str">
        <x:v>供应商质量管理</x:v>
      </x:c>
      <x:c r="F14" s="31" t="str">
        <x:v>质量与结算边界</x:v>
      </x:c>
      <x:c r="G14" s="31" t="str">
        <x:v>质量及结算权威边界决策</x:v>
      </x:c>
      <x:c r="H14" s="31" t="str">
        <x:v>决策</x:v>
      </x:c>
      <x:c r="I14" s="29" t="str">
        <x:v>adr/quality-settlement</x:v>
      </x:c>
      <x:c r="J14" s="29" t="str">
        <x:v>确认IQC、物料资格、发票、应付和付款的权威系统及V1.0模拟/集成方式。</x:v>
      </x:c>
      <x:c r="K14" s="29" t="str">
        <x:v>对账一致、应付确认和付款完成必须分开建模。</x:v>
      </x:c>
      <x:c r="L14" s="29" t="str">
        <x:v>S0-003</x:v>
      </x:c>
      <x:c r="M14" s="31" t="str">
        <x:v>P0</x:v>
      </x:c>
      <x:c r="N14" s="31" t="str">
        <x:v>L</x:v>
      </x:c>
      <x:c r="O14" s="31" t="str">
        <x:v>业务负责人/产品</x:v>
      </x:c>
      <x:c r="P14" s="31" t="str">
        <x:v>I00</x:v>
      </x:c>
      <x:c r="Q14" s="31" t="str">
        <x:v>S0-C 关键决策</x:v>
      </x:c>
      <x:c r="R14" s="33"/>
      <x:c r="S14" s="33"/>
      <x:c r="T14" s="31" t="str">
        <x:v>未开始</x:v>
      </x:c>
      <x:c r="U14" s="29" t="str">
        <x:v>决策记录（ADR）及影响清单</x:v>
      </x:c>
      <x:c r="V14" s="29" t="str">
        <x:v>业务、产品、数据和技术影响均已确认；结论有负责人、日期和变更规则</x:v>
      </x:c>
      <x:c r="W14" s="31" t="str">
        <x:v>待执行</x:v>
      </x:c>
      <x:c r="X14" s="31" t="str">
        <x:v>不适用</x:v>
      </x:c>
      <x:c r="Y14" s="31" t="str">
        <x:v>不适用</x:v>
      </x:c>
      <x:c r="Z14" s="31" t="str">
        <x:v>不适用</x:v>
      </x:c>
      <x:c r="AA14" s="33"/>
      <x:c r="AB14" s="29" t="str"/>
    </x:row>
    <x:row r="15" ht="42" customHeight="1">
      <x:c r="A15" s="31" t="n">
        <x:v>10</x:v>
      </x:c>
      <x:c r="B15" s="31" t="str">
        <x:v>S0-010</x:v>
      </x:c>
      <x:c r="C15" s="31" t="str">
        <x:v>阶段0：设计与工程基线</x:v>
      </x:c>
      <x:c r="D15" s="31" t="str">
        <x:v>V1.0基线</x:v>
      </x:c>
      <x:c r="E15" s="31" t="str">
        <x:v>技术架构</x:v>
      </x:c>
      <x:c r="F15" s="31" t="str">
        <x:v>应用架构</x:v>
      </x:c>
      <x:c r="G15" s="31" t="str">
        <x:v>模块化单体与仓库结构设计</x:v>
      </x:c>
      <x:c r="H15" s="31" t="str">
        <x:v>设计</x:v>
      </x:c>
      <x:c r="I15" s="29" t="str">
        <x:v>architecture</x:v>
      </x:c>
      <x:c r="J15" s="29" t="str">
        <x:v>定义内部门户、供应商门户、后端领域包、数据库前缀和模块依赖。</x:v>
      </x:c>
      <x:c r="K15" s="29" t="str">
        <x:v>第一阶段不拆微服务；禁止跨模块直接更新业务表。</x:v>
      </x:c>
      <x:c r="L15" s="29" t="str">
        <x:v>S0-003</x:v>
      </x:c>
      <x:c r="M15" s="31" t="str">
        <x:v>P0</x:v>
      </x:c>
      <x:c r="N15" s="31" t="str">
        <x:v>L</x:v>
      </x:c>
      <x:c r="O15" s="31" t="str">
        <x:v>架构/开发</x:v>
      </x:c>
      <x:c r="P15" s="31" t="str">
        <x:v>I00</x:v>
      </x:c>
      <x:c r="Q15" s="31" t="str">
        <x:v>S0-B 平台设计</x:v>
      </x:c>
      <x:c r="R15" s="33"/>
      <x:c r="S15" s="33"/>
      <x:c r="T15" s="31" t="str">
        <x:v>未开始</x:v>
      </x:c>
      <x:c r="U15" s="29" t="str">
        <x:v>《模块化单体与仓库结构设计详细设计》及矩阵/模型</x:v>
      </x:c>
      <x:c r="V15" s="29" t="str">
        <x:v>范围、对象、状态、权限、异常和验收口径评审通过；不存在关键歧义</x:v>
      </x:c>
      <x:c r="W15" s="31" t="str">
        <x:v>待执行</x:v>
      </x:c>
      <x:c r="X15" s="31" t="str">
        <x:v>不适用</x:v>
      </x:c>
      <x:c r="Y15" s="31" t="str">
        <x:v>不适用</x:v>
      </x:c>
      <x:c r="Z15" s="31" t="str">
        <x:v>不适用</x:v>
      </x:c>
      <x:c r="AA15" s="33"/>
      <x:c r="AB15" s="29" t="str"/>
    </x:row>
    <x:row r="16" ht="42" customHeight="1">
      <x:c r="A16" s="31" t="n">
        <x:v>11</x:v>
      </x:c>
      <x:c r="B16" s="31" t="str">
        <x:v>S0-011</x:v>
      </x:c>
      <x:c r="C16" s="31" t="str">
        <x:v>阶段0：设计与工程基线</x:v>
      </x:c>
      <x:c r="D16" s="31" t="str">
        <x:v>V1.0基线</x:v>
      </x:c>
      <x:c r="E16" s="31" t="str">
        <x:v>技术架构</x:v>
      </x:c>
      <x:c r="F16" s="31" t="str">
        <x:v>工程规范</x:v>
      </x:c>
      <x:c r="G16" s="31" t="str">
        <x:v>数据库API事件与编码规范</x:v>
      </x:c>
      <x:c r="H16" s="31" t="str">
        <x:v>设计</x:v>
      </x:c>
      <x:c r="I16" s="29" t="str">
        <x:v>architecture/standards</x:v>
      </x:c>
      <x:c r="J16" s="29" t="str">
        <x:v>统一ID、编号、版本、审计、错误码、API、Outbox/Inbox、迁移脚本和测试规范。</x:v>
      </x:c>
      <x:c r="K16" s="29" t="str">
        <x:v>接口幂等、旧版本防覆盖和关键对象快照为强制规范。</x:v>
      </x:c>
      <x:c r="L16" s="29" t="str">
        <x:v>S0-004,S0-010</x:v>
      </x:c>
      <x:c r="M16" s="31" t="str">
        <x:v>P0</x:v>
      </x:c>
      <x:c r="N16" s="31" t="str">
        <x:v>L</x:v>
      </x:c>
      <x:c r="O16" s="31" t="str">
        <x:v>架构/开发</x:v>
      </x:c>
      <x:c r="P16" s="31" t="str">
        <x:v>I00</x:v>
      </x:c>
      <x:c r="Q16" s="31" t="str">
        <x:v>S0-B 平台设计</x:v>
      </x:c>
      <x:c r="R16" s="33"/>
      <x:c r="S16" s="33"/>
      <x:c r="T16" s="31" t="str">
        <x:v>未开始</x:v>
      </x:c>
      <x:c r="U16" s="29" t="str">
        <x:v>《数据库API事件与编码规范详细设计》及矩阵/模型</x:v>
      </x:c>
      <x:c r="V16" s="29" t="str">
        <x:v>范围、对象、状态、权限、异常和验收口径评审通过；不存在关键歧义</x:v>
      </x:c>
      <x:c r="W16" s="31" t="str">
        <x:v>待执行</x:v>
      </x:c>
      <x:c r="X16" s="31" t="str">
        <x:v>不适用</x:v>
      </x:c>
      <x:c r="Y16" s="31" t="str">
        <x:v>不适用</x:v>
      </x:c>
      <x:c r="Z16" s="31" t="str">
        <x:v>不适用</x:v>
      </x:c>
      <x:c r="AA16" s="33"/>
      <x:c r="AB16" s="29" t="str"/>
    </x:row>
    <x:row r="17" ht="42" customHeight="1">
      <x:c r="A17" s="31" t="n">
        <x:v>12</x:v>
      </x:c>
      <x:c r="B17" s="31" t="str">
        <x:v>S0-012</x:v>
      </x:c>
      <x:c r="C17" s="31" t="str">
        <x:v>阶段0：设计与工程基线</x:v>
      </x:c>
      <x:c r="D17" s="31" t="str">
        <x:v>V1.0基线</x:v>
      </x:c>
      <x:c r="E17" s="31" t="str">
        <x:v>非功能</x:v>
      </x:c>
      <x:c r="F17" s="31" t="str">
        <x:v>基线</x:v>
      </x:c>
      <x:c r="G17" s="31" t="str">
        <x:v>安全性能运维与部署基线</x:v>
      </x:c>
      <x:c r="H17" s="31" t="str">
        <x:v>设计</x:v>
      </x:c>
      <x:c r="I17" s="29" t="str">
        <x:v>docs/nfr</x:v>
      </x:c>
      <x:c r="J17" s="29" t="str">
        <x:v>定义认证、加密、附件、审计、分页、批任务、SLA、备份恢复、监控和部署目标。</x:v>
      </x:c>
      <x:c r="K17" s="29" t="str">
        <x:v>敏感信息不进入日志；列表服务端分页；备份必须可恢复。</x:v>
      </x:c>
      <x:c r="L17" s="29" t="str">
        <x:v>S0-005,S0-010</x:v>
      </x:c>
      <x:c r="M17" s="31" t="str">
        <x:v>P0</x:v>
      </x:c>
      <x:c r="N17" s="31" t="str">
        <x:v>L</x:v>
      </x:c>
      <x:c r="O17" s="31" t="str">
        <x:v>架构/运维</x:v>
      </x:c>
      <x:c r="P17" s="31" t="str">
        <x:v>I00</x:v>
      </x:c>
      <x:c r="Q17" s="31" t="str">
        <x:v>S0-D 非功能</x:v>
      </x:c>
      <x:c r="R17" s="33"/>
      <x:c r="S17" s="33"/>
      <x:c r="T17" s="31" t="str">
        <x:v>未开始</x:v>
      </x:c>
      <x:c r="U17" s="29" t="str">
        <x:v>《安全性能运维与部署基线详细设计》及矩阵/模型</x:v>
      </x:c>
      <x:c r="V17" s="29" t="str">
        <x:v>范围、对象、状态、权限、异常和验收口径评审通过；不存在关键歧义</x:v>
      </x:c>
      <x:c r="W17" s="31" t="str">
        <x:v>待执行</x:v>
      </x:c>
      <x:c r="X17" s="31" t="str">
        <x:v>不适用</x:v>
      </x:c>
      <x:c r="Y17" s="31" t="str">
        <x:v>不适用</x:v>
      </x:c>
      <x:c r="Z17" s="31" t="str">
        <x:v>不适用</x:v>
      </x:c>
      <x:c r="AA17" s="33"/>
      <x:c r="AB17" s="29" t="str"/>
    </x:row>
    <x:row r="18" ht="42" customHeight="1">
      <x:c r="A18" s="31" t="n">
        <x:v>13</x:v>
      </x:c>
      <x:c r="B18" s="31" t="str">
        <x:v>S0-013</x:v>
      </x:c>
      <x:c r="C18" s="31" t="str">
        <x:v>阶段0：设计与工程基线</x:v>
      </x:c>
      <x:c r="D18" s="31" t="str">
        <x:v>V1.0基线</x:v>
      </x:c>
      <x:c r="E18" s="31" t="str">
        <x:v>项目管理</x:v>
      </x:c>
      <x:c r="F18" s="31" t="str">
        <x:v>变更治理</x:v>
      </x:c>
      <x:c r="G18" s="31" t="str">
        <x:v>详细任务模板与变更控制</x:v>
      </x:c>
      <x:c r="H18" s="31" t="str">
        <x:v>设计</x:v>
      </x:c>
      <x:c r="I18" s="29" t="str">
        <x:v>docs/templates</x:v>
      </x:c>
      <x:c r="J18" s="29" t="str">
        <x:v>建立单阶段开发任务书、复核报告、提交清单、部署记录和验收模板。</x:v>
      </x:c>
      <x:c r="K18" s="29" t="str">
        <x:v>任何范围变更先更新基线和依赖，不在开发任务中静默扩项。</x:v>
      </x:c>
      <x:c r="L18" s="29" t="str">
        <x:v>S0-002</x:v>
      </x:c>
      <x:c r="M18" s="31" t="str">
        <x:v>P1</x:v>
      </x:c>
      <x:c r="N18" s="31" t="str">
        <x:v>M</x:v>
      </x:c>
      <x:c r="O18" s="31" t="str">
        <x:v>产品/架构</x:v>
      </x:c>
      <x:c r="P18" s="31" t="str">
        <x:v>I00</x:v>
      </x:c>
      <x:c r="Q18" s="31" t="str">
        <x:v>S0-A 业务设计</x:v>
      </x:c>
      <x:c r="R18" s="33"/>
      <x:c r="S18" s="33"/>
      <x:c r="T18" s="31" t="str">
        <x:v>未开始</x:v>
      </x:c>
      <x:c r="U18" s="29" t="str">
        <x:v>《详细任务模板与变更控制详细设计》及矩阵/模型</x:v>
      </x:c>
      <x:c r="V18" s="29" t="str">
        <x:v>范围、对象、状态、权限、异常和验收口径评审通过；不存在关键歧义</x:v>
      </x:c>
      <x:c r="W18" s="31" t="str">
        <x:v>待执行</x:v>
      </x:c>
      <x:c r="X18" s="31" t="str">
        <x:v>不适用</x:v>
      </x:c>
      <x:c r="Y18" s="31" t="str">
        <x:v>不适用</x:v>
      </x:c>
      <x:c r="Z18" s="31" t="str">
        <x:v>不适用</x:v>
      </x:c>
      <x:c r="AA18" s="33"/>
      <x:c r="AB18" s="29" t="str"/>
    </x:row>
    <x:row r="19" ht="42" customHeight="1">
      <x:c r="A19" s="31" t="n">
        <x:v>14</x:v>
      </x:c>
      <x:c r="B19" s="31" t="str">
        <x:v>S1-001</x:v>
      </x:c>
      <x:c r="C19" s="31" t="str">
        <x:v>阶段1：平台与数据底座</x:v>
      </x:c>
      <x:c r="D19" s="31" t="str">
        <x:v>V1.0基线</x:v>
      </x:c>
      <x:c r="E19" s="31" t="str">
        <x:v>技术架构</x:v>
      </x:c>
      <x:c r="F19" s="31" t="str">
        <x:v>项目骨架</x:v>
      </x:c>
      <x:c r="G19" s="31" t="str">
        <x:v>模块化单体工程骨架</x:v>
      </x:c>
      <x:c r="H19" s="31" t="str">
        <x:v>工程</x:v>
      </x:c>
      <x:c r="I19" s="29" t="str">
        <x:v>platform/bootstrap</x:v>
      </x:c>
      <x:c r="J19" s="29" t="str">
        <x:v>创建前后端项目、领域模块边界、统一配置、异常响应和基础测试结构。</x:v>
      </x:c>
      <x:c r="K19" s="29" t="str">
        <x:v>模块依赖单向；内部端与供应商端DTO和路由边界分离。</x:v>
      </x:c>
      <x:c r="L19" s="29" t="str">
        <x:v>阶段0完成</x:v>
      </x:c>
      <x:c r="M19" s="31" t="str">
        <x:v>P0</x:v>
      </x:c>
      <x:c r="N19" s="31" t="str">
        <x:v>L</x:v>
      </x:c>
      <x:c r="O19" s="31" t="str">
        <x:v>开发Agent</x:v>
      </x:c>
      <x:c r="P19" s="31" t="str">
        <x:v>I01</x:v>
      </x:c>
      <x:c r="Q19" s="31" t="str">
        <x:v>S1-D 工程底座</x:v>
      </x:c>
      <x:c r="R19" s="33"/>
      <x:c r="S19" s="33"/>
      <x:c r="T19" s="31" t="str">
        <x:v>未开始</x:v>
      </x:c>
      <x:c r="U19" s="29" t="str">
        <x:v>模块化单体工程骨架前后端功能、数据库迁移、权限点、接口及测试用例</x:v>
      </x:c>
      <x:c r="V19" s="29" t="str">
        <x:v>主路径可运行；权限、状态、异常、版本和审计校验通过；构建无错误</x:v>
      </x:c>
      <x:c r="W19" s="31" t="str">
        <x:v>待执行</x:v>
      </x:c>
      <x:c r="X19" s="31" t="str">
        <x:v>待执行</x:v>
      </x:c>
      <x:c r="Y19" s="31" t="str">
        <x:v>待执行</x:v>
      </x:c>
      <x:c r="Z19" s="31" t="str">
        <x:v>待执行</x:v>
      </x:c>
      <x:c r="AA19" s="33"/>
      <x:c r="AB19" s="29" t="str"/>
    </x:row>
    <x:row r="20" ht="42" customHeight="1">
      <x:c r="A20" s="31" t="n">
        <x:v>15</x:v>
      </x:c>
      <x:c r="B20" s="31" t="str">
        <x:v>S1-002</x:v>
      </x:c>
      <x:c r="C20" s="31" t="str">
        <x:v>阶段1：平台与数据底座</x:v>
      </x:c>
      <x:c r="D20" s="31" t="str">
        <x:v>V1.0基线</x:v>
      </x:c>
      <x:c r="E20" s="31" t="str">
        <x:v>系统管理</x:v>
      </x:c>
      <x:c r="F20" s="31" t="str">
        <x:v>数据库</x:v>
      </x:c>
      <x:c r="G20" s="31" t="str">
        <x:v>数据库迁移与初始化框架</x:v>
      </x:c>
      <x:c r="H20" s="31" t="str">
        <x:v>工程</x:v>
      </x:c>
      <x:c r="I20" s="29" t="str">
        <x:v>platform/database</x:v>
      </x:c>
      <x:c r="J20" s="29" t="str">
        <x:v>建立可重复执行的迁移、初始化数据、回滚说明和环境差异管理。</x:v>
      </x:c>
      <x:c r="K20" s="29" t="str">
        <x:v>脚本幂等/有版本；禁止手工改库成为唯一事实。</x:v>
      </x:c>
      <x:c r="L20" s="29" t="str">
        <x:v>S1-001</x:v>
      </x:c>
      <x:c r="M20" s="31" t="str">
        <x:v>P0</x:v>
      </x:c>
      <x:c r="N20" s="31" t="str">
        <x:v>M</x:v>
      </x:c>
      <x:c r="O20" s="31" t="str">
        <x:v>开发Agent</x:v>
      </x:c>
      <x:c r="P20" s="31" t="str">
        <x:v>I01</x:v>
      </x:c>
      <x:c r="Q20" s="31" t="str">
        <x:v>S1-D 工程底座</x:v>
      </x:c>
      <x:c r="R20" s="33"/>
      <x:c r="S20" s="33"/>
      <x:c r="T20" s="31" t="str">
        <x:v>未开始</x:v>
      </x:c>
      <x:c r="U20" s="29" t="str">
        <x:v>数据库迁移与初始化框架前后端功能、数据库迁移、权限点、接口及测试用例</x:v>
      </x:c>
      <x:c r="V20" s="29" t="str">
        <x:v>主路径可运行；权限、状态、异常、版本和审计校验通过；构建无错误</x:v>
      </x:c>
      <x:c r="W20" s="31" t="str">
        <x:v>待执行</x:v>
      </x:c>
      <x:c r="X20" s="31" t="str">
        <x:v>待执行</x:v>
      </x:c>
      <x:c r="Y20" s="31" t="str">
        <x:v>待执行</x:v>
      </x:c>
      <x:c r="Z20" s="31" t="str">
        <x:v>待执行</x:v>
      </x:c>
      <x:c r="AA20" s="33"/>
      <x:c r="AB20" s="29" t="str"/>
    </x:row>
    <x:row r="21" ht="42" customHeight="1">
      <x:c r="A21" s="31" t="n">
        <x:v>16</x:v>
      </x:c>
      <x:c r="B21" s="31" t="str">
        <x:v>S1-003</x:v>
      </x:c>
      <x:c r="C21" s="31" t="str">
        <x:v>阶段1：平台与数据底座</x:v>
      </x:c>
      <x:c r="D21" s="31" t="str">
        <x:v>V1.0基线</x:v>
      </x:c>
      <x:c r="E21" s="31" t="str">
        <x:v>系统管理</x:v>
      </x:c>
      <x:c r="F21" s="31" t="str">
        <x:v>身份认证</x:v>
      </x:c>
      <x:c r="G21" s="31" t="str">
        <x:v>内部用户登录与会话安全</x:v>
      </x:c>
      <x:c r="H21" s="31" t="str">
        <x:v>功能</x:v>
      </x:c>
      <x:c r="I21" s="29" t="str">
        <x:v>platform/auth</x:v>
      </x:c>
      <x:c r="J21" s="29" t="str">
        <x:v>实现登录、退出、令牌/会话、密码策略、失败锁定和当前用户上下文。</x:v>
      </x:c>
      <x:c r="K21" s="29" t="str">
        <x:v>认证失败不泄露账户状态；关键操作要求有效身份上下文。</x:v>
      </x:c>
      <x:c r="L21" s="29" t="str">
        <x:v>S1-001,S1-002</x:v>
      </x:c>
      <x:c r="M21" s="31" t="str">
        <x:v>P0</x:v>
      </x:c>
      <x:c r="N21" s="31" t="str">
        <x:v>L</x:v>
      </x:c>
      <x:c r="O21" s="31" t="str">
        <x:v>开发Agent</x:v>
      </x:c>
      <x:c r="P21" s="31" t="str">
        <x:v>I01</x:v>
      </x:c>
      <x:c r="Q21" s="31" t="str">
        <x:v>S1-A 身份权限</x:v>
      </x:c>
      <x:c r="R21" s="33"/>
      <x:c r="S21" s="33"/>
      <x:c r="T21" s="31" t="str">
        <x:v>未开始</x:v>
      </x:c>
      <x:c r="U21" s="29" t="str">
        <x:v>内部用户登录与会话安全前后端功能、数据库迁移、权限点、接口及测试用例</x:v>
      </x:c>
      <x:c r="V21" s="29" t="str">
        <x:v>主路径可运行；权限、状态、异常、版本和审计校验通过；构建无错误</x:v>
      </x:c>
      <x:c r="W21" s="31" t="str">
        <x:v>待执行</x:v>
      </x:c>
      <x:c r="X21" s="31" t="str">
        <x:v>待执行</x:v>
      </x:c>
      <x:c r="Y21" s="31" t="str">
        <x:v>待执行</x:v>
      </x:c>
      <x:c r="Z21" s="31" t="str">
        <x:v>待执行</x:v>
      </x:c>
      <x:c r="AA21" s="33"/>
      <x:c r="AB21" s="29" t="str"/>
    </x:row>
    <x:row r="22" ht="42" customHeight="1">
      <x:c r="A22" s="31" t="n">
        <x:v>17</x:v>
      </x:c>
      <x:c r="B22" s="31" t="str">
        <x:v>S1-004</x:v>
      </x:c>
      <x:c r="C22" s="31" t="str">
        <x:v>阶段1：平台与数据底座</x:v>
      </x:c>
      <x:c r="D22" s="31" t="str">
        <x:v>V1.0基线</x:v>
      </x:c>
      <x:c r="E22" s="31" t="str">
        <x:v>系统管理</x:v>
      </x:c>
      <x:c r="F22" s="31" t="str">
        <x:v>用户组织</x:v>
      </x:c>
      <x:c r="G22" s="31" t="str">
        <x:v>用户组织岗位管理</x:v>
      </x:c>
      <x:c r="H22" s="31" t="str">
        <x:v>功能</x:v>
      </x:c>
      <x:c r="I22" s="29" t="str">
        <x:v>platform/iam</x:v>
      </x:c>
      <x:c r="J22" s="29" t="str">
        <x:v>实现内部用户、组织、部门/岗位、启停用和归属维护。</x:v>
      </x:c>
      <x:c r="K22" s="29" t="str">
        <x:v>停用对象保留历史引用；组织范围参与数据权限。</x:v>
      </x:c>
      <x:c r="L22" s="29" t="str">
        <x:v>S1-003</x:v>
      </x:c>
      <x:c r="M22" s="31" t="str">
        <x:v>P0</x:v>
      </x:c>
      <x:c r="N22" s="31" t="str">
        <x:v>L</x:v>
      </x:c>
      <x:c r="O22" s="31" t="str">
        <x:v>开发Agent</x:v>
      </x:c>
      <x:c r="P22" s="31" t="str">
        <x:v>I01</x:v>
      </x:c>
      <x:c r="Q22" s="31" t="str">
        <x:v>S1-A 身份权限</x:v>
      </x:c>
      <x:c r="R22" s="33"/>
      <x:c r="S22" s="33"/>
      <x:c r="T22" s="31" t="str">
        <x:v>未开始</x:v>
      </x:c>
      <x:c r="U22" s="29" t="str">
        <x:v>用户组织岗位管理前后端功能、数据库迁移、权限点、接口及测试用例</x:v>
      </x:c>
      <x:c r="V22" s="29" t="str">
        <x:v>主路径可运行；权限、状态、异常、版本和审计校验通过；构建无错误</x:v>
      </x:c>
      <x:c r="W22" s="31" t="str">
        <x:v>待执行</x:v>
      </x:c>
      <x:c r="X22" s="31" t="str">
        <x:v>待执行</x:v>
      </x:c>
      <x:c r="Y22" s="31" t="str">
        <x:v>待执行</x:v>
      </x:c>
      <x:c r="Z22" s="31" t="str">
        <x:v>待执行</x:v>
      </x:c>
      <x:c r="AA22" s="33"/>
      <x:c r="AB22" s="29" t="str"/>
    </x:row>
    <x:row r="23" ht="42" customHeight="1">
      <x:c r="A23" s="31" t="n">
        <x:v>18</x:v>
      </x:c>
      <x:c r="B23" s="31" t="str">
        <x:v>S1-005</x:v>
      </x:c>
      <x:c r="C23" s="31" t="str">
        <x:v>阶段1：平台与数据底座</x:v>
      </x:c>
      <x:c r="D23" s="31" t="str">
        <x:v>V1.0基线</x:v>
      </x:c>
      <x:c r="E23" s="31" t="str">
        <x:v>系统管理</x:v>
      </x:c>
      <x:c r="F23" s="31" t="str">
        <x:v>角色管理</x:v>
      </x:c>
      <x:c r="G23" s="31" t="str">
        <x:v>角色下挂用户</x:v>
      </x:c>
      <x:c r="H23" s="31" t="str">
        <x:v>功能</x:v>
      </x:c>
      <x:c r="I23" s="29" t="str">
        <x:v>platform/iam</x:v>
      </x:c>
      <x:c r="J23" s="29" t="str">
        <x:v>以角色为主维护挂载用户，并保留用户侧只读查看关联角色。</x:v>
      </x:c>
      <x:c r="K23" s="29" t="str">
        <x:v>角色变更实时影响授权；高权限角色操作必须审计。</x:v>
      </x:c>
      <x:c r="L23" s="29" t="str">
        <x:v>S1-004</x:v>
      </x:c>
      <x:c r="M23" s="31" t="str">
        <x:v>P0</x:v>
      </x:c>
      <x:c r="N23" s="31" t="str">
        <x:v>M</x:v>
      </x:c>
      <x:c r="O23" s="31" t="str">
        <x:v>开发Agent</x:v>
      </x:c>
      <x:c r="P23" s="31" t="str">
        <x:v>I01</x:v>
      </x:c>
      <x:c r="Q23" s="31" t="str">
        <x:v>S1-A 身份权限</x:v>
      </x:c>
      <x:c r="R23" s="33"/>
      <x:c r="S23" s="33"/>
      <x:c r="T23" s="31" t="str">
        <x:v>未开始</x:v>
      </x:c>
      <x:c r="U23" s="29" t="str">
        <x:v>角色下挂用户前后端功能、数据库迁移、权限点、接口及测试用例</x:v>
      </x:c>
      <x:c r="V23" s="29" t="str">
        <x:v>主路径可运行；权限、状态、异常、版本和审计校验通过；构建无错误</x:v>
      </x:c>
      <x:c r="W23" s="31" t="str">
        <x:v>待执行</x:v>
      </x:c>
      <x:c r="X23" s="31" t="str">
        <x:v>待执行</x:v>
      </x:c>
      <x:c r="Y23" s="31" t="str">
        <x:v>待执行</x:v>
      </x:c>
      <x:c r="Z23" s="31" t="str">
        <x:v>待执行</x:v>
      </x:c>
      <x:c r="AA23" s="33"/>
      <x:c r="AB23" s="29" t="str"/>
    </x:row>
    <x:row r="24" ht="42" customHeight="1">
      <x:c r="A24" s="31" t="n">
        <x:v>19</x:v>
      </x:c>
      <x:c r="B24" s="31" t="str">
        <x:v>S1-006</x:v>
      </x:c>
      <x:c r="C24" s="31" t="str">
        <x:v>阶段1：平台与数据底座</x:v>
      </x:c>
      <x:c r="D24" s="31" t="str">
        <x:v>V1.0基线</x:v>
      </x:c>
      <x:c r="E24" s="31" t="str">
        <x:v>系统管理</x:v>
      </x:c>
      <x:c r="F24" s="31" t="str">
        <x:v>功能权限</x:v>
      </x:c>
      <x:c r="G24" s="31" t="str">
        <x:v>菜单按钮与接口权限</x:v>
      </x:c>
      <x:c r="H24" s="31" t="str">
        <x:v>功能</x:v>
      </x:c>
      <x:c r="I24" s="29" t="str">
        <x:v>platform/iam</x:v>
      </x:c>
      <x:c r="J24" s="29" t="str">
        <x:v>统一菜单、路由、按钮、API权限点和角色授权。</x:v>
      </x:c>
      <x:c r="K24" s="29" t="str">
        <x:v>前端隐藏不能替代后端鉴权；未授权接口返回一致错误。</x:v>
      </x:c>
      <x:c r="L24" s="29" t="str">
        <x:v>S1-005</x:v>
      </x:c>
      <x:c r="M24" s="31" t="str">
        <x:v>P0</x:v>
      </x:c>
      <x:c r="N24" s="31" t="str">
        <x:v>L</x:v>
      </x:c>
      <x:c r="O24" s="31" t="str">
        <x:v>开发Agent</x:v>
      </x:c>
      <x:c r="P24" s="31" t="str">
        <x:v>I01</x:v>
      </x:c>
      <x:c r="Q24" s="31" t="str">
        <x:v>S1-A 身份权限</x:v>
      </x:c>
      <x:c r="R24" s="33"/>
      <x:c r="S24" s="33"/>
      <x:c r="T24" s="31" t="str">
        <x:v>未开始</x:v>
      </x:c>
      <x:c r="U24" s="29" t="str">
        <x:v>菜单按钮与接口权限前后端功能、数据库迁移、权限点、接口及测试用例</x:v>
      </x:c>
      <x:c r="V24" s="29" t="str">
        <x:v>主路径可运行；权限、状态、异常、版本和审计校验通过；构建无错误</x:v>
      </x:c>
      <x:c r="W24" s="31" t="str">
        <x:v>待执行</x:v>
      </x:c>
      <x:c r="X24" s="31" t="str">
        <x:v>待执行</x:v>
      </x:c>
      <x:c r="Y24" s="31" t="str">
        <x:v>待执行</x:v>
      </x:c>
      <x:c r="Z24" s="31" t="str">
        <x:v>待执行</x:v>
      </x:c>
      <x:c r="AA24" s="33"/>
      <x:c r="AB24" s="29" t="str"/>
    </x:row>
    <x:row r="25" ht="42" customHeight="1">
      <x:c r="A25" s="31" t="n">
        <x:v>20</x:v>
      </x:c>
      <x:c r="B25" s="31" t="str">
        <x:v>S1-007</x:v>
      </x:c>
      <x:c r="C25" s="31" t="str">
        <x:v>阶段1：平台与数据底座</x:v>
      </x:c>
      <x:c r="D25" s="31" t="str">
        <x:v>V1.0基线</x:v>
      </x:c>
      <x:c r="E25" s="31" t="str">
        <x:v>系统管理</x:v>
      </x:c>
      <x:c r="F25" s="31" t="str">
        <x:v>数据权限</x:v>
      </x:c>
      <x:c r="G25" s="31" t="str">
        <x:v>多维数据范围引擎</x:v>
      </x:c>
      <x:c r="H25" s="31" t="str">
        <x:v>功能</x:v>
      </x:c>
      <x:c r="I25" s="29" t="str">
        <x:v>platform/data-scope</x:v>
      </x:c>
      <x:c r="J25" s="29" t="str">
        <x:v>支持组织、工厂、采购组织、品类、供应商及本人等数据范围组合。</x:v>
      </x:c>
      <x:c r="K25" s="29" t="str">
        <x:v>查询、导出、详情和批处理使用同一数据域规则。</x:v>
      </x:c>
      <x:c r="L25" s="29" t="str">
        <x:v>S1-004,S1-006</x:v>
      </x:c>
      <x:c r="M25" s="31" t="str">
        <x:v>P0</x:v>
      </x:c>
      <x:c r="N25" s="31" t="str">
        <x:v>XL</x:v>
      </x:c>
      <x:c r="O25" s="31" t="str">
        <x:v>开发Agent</x:v>
      </x:c>
      <x:c r="P25" s="31" t="str">
        <x:v>I02</x:v>
      </x:c>
      <x:c r="Q25" s="31" t="str">
        <x:v>S1-A 身份权限</x:v>
      </x:c>
      <x:c r="R25" s="33"/>
      <x:c r="S25" s="33"/>
      <x:c r="T25" s="31" t="str">
        <x:v>未开始</x:v>
      </x:c>
      <x:c r="U25" s="29" t="str">
        <x:v>多维数据范围引擎前后端功能、数据库迁移、权限点、接口及测试用例</x:v>
      </x:c>
      <x:c r="V25" s="29" t="str">
        <x:v>主路径可运行；权限、状态、异常、版本和审计校验通过；构建无错误</x:v>
      </x:c>
      <x:c r="W25" s="31" t="str">
        <x:v>待执行</x:v>
      </x:c>
      <x:c r="X25" s="31" t="str">
        <x:v>待执行</x:v>
      </x:c>
      <x:c r="Y25" s="31" t="str">
        <x:v>待执行</x:v>
      </x:c>
      <x:c r="Z25" s="31" t="str">
        <x:v>待执行</x:v>
      </x:c>
      <x:c r="AA25" s="33"/>
      <x:c r="AB25" s="29" t="str"/>
    </x:row>
    <x:row r="26" ht="42" customHeight="1">
      <x:c r="A26" s="31" t="n">
        <x:v>21</x:v>
      </x:c>
      <x:c r="B26" s="31" t="str">
        <x:v>S1-008</x:v>
      </x:c>
      <x:c r="C26" s="31" t="str">
        <x:v>阶段1：平台与数据底座</x:v>
      </x:c>
      <x:c r="D26" s="31" t="str">
        <x:v>V1.0基线</x:v>
      </x:c>
      <x:c r="E26" s="31" t="str">
        <x:v>系统管理</x:v>
      </x:c>
      <x:c r="F26" s="31" t="str">
        <x:v>职责分离</x:v>
      </x:c>
      <x:c r="G26" s="31" t="str">
        <x:v>关键职责分离控制</x:v>
      </x:c>
      <x:c r="H26" s="31" t="str">
        <x:v>功能</x:v>
      </x:c>
      <x:c r="I26" s="29" t="str">
        <x:v>platform/sod</x:v>
      </x:c>
      <x:c r="J26" s="29" t="str">
        <x:v>配置发起/审批、采购/收货、评分/发布等不相容职责规则。</x:v>
      </x:c>
      <x:c r="K26" s="29" t="str">
        <x:v>受控用户不得审批本人发起的关键业务；例外需授权并审计。</x:v>
      </x:c>
      <x:c r="L26" s="29" t="str">
        <x:v>S1-005,S1-006</x:v>
      </x:c>
      <x:c r="M26" s="31" t="str">
        <x:v>P0</x:v>
      </x:c>
      <x:c r="N26" s="31" t="str">
        <x:v>L</x:v>
      </x:c>
      <x:c r="O26" s="31" t="str">
        <x:v>开发Agent</x:v>
      </x:c>
      <x:c r="P26" s="31" t="str">
        <x:v>I02</x:v>
      </x:c>
      <x:c r="Q26" s="31" t="str">
        <x:v>S1-A 身份权限</x:v>
      </x:c>
      <x:c r="R26" s="33"/>
      <x:c r="S26" s="33"/>
      <x:c r="T26" s="31" t="str">
        <x:v>未开始</x:v>
      </x:c>
      <x:c r="U26" s="29" t="str">
        <x:v>关键职责分离控制前后端功能、数据库迁移、权限点、接口及测试用例</x:v>
      </x:c>
      <x:c r="V26" s="29" t="str">
        <x:v>主路径可运行；权限、状态、异常、版本和审计校验通过；构建无错误</x:v>
      </x:c>
      <x:c r="W26" s="31" t="str">
        <x:v>待执行</x:v>
      </x:c>
      <x:c r="X26" s="31" t="str">
        <x:v>待执行</x:v>
      </x:c>
      <x:c r="Y26" s="31" t="str">
        <x:v>待执行</x:v>
      </x:c>
      <x:c r="Z26" s="31" t="str">
        <x:v>待执行</x:v>
      </x:c>
      <x:c r="AA26" s="33"/>
      <x:c r="AB26" s="29" t="str"/>
    </x:row>
    <x:row r="27" ht="42" customHeight="1">
      <x:c r="A27" s="31" t="n">
        <x:v>22</x:v>
      </x:c>
      <x:c r="B27" s="31" t="str">
        <x:v>S1-009</x:v>
      </x:c>
      <x:c r="C27" s="31" t="str">
        <x:v>阶段1：平台与数据底座</x:v>
      </x:c>
      <x:c r="D27" s="31" t="str">
        <x:v>V1.0基线</x:v>
      </x:c>
      <x:c r="E27" s="31" t="str">
        <x:v>系统管理</x:v>
      </x:c>
      <x:c r="F27" s="31" t="str">
        <x:v>流程审批</x:v>
      </x:c>
      <x:c r="G27" s="31" t="str">
        <x:v>通用审批与领域回调</x:v>
      </x:c>
      <x:c r="H27" s="31" t="str">
        <x:v>平台</x:v>
      </x:c>
      <x:c r="I27" s="29" t="str">
        <x:v>platform/workflow</x:v>
      </x:c>
      <x:c r="J27" s="29" t="str">
        <x:v>实现流程定义、节点、审批、驳回、撤回、转交、加签和领域状态回调。</x:v>
      </x:c>
      <x:c r="K27" s="29" t="str">
        <x:v>流程引擎只决定处理人；领域服务决定动作是否合法和业务状态。</x:v>
      </x:c>
      <x:c r="L27" s="29" t="str">
        <x:v>S1-004,S1-008</x:v>
      </x:c>
      <x:c r="M27" s="31" t="str">
        <x:v>P0</x:v>
      </x:c>
      <x:c r="N27" s="31" t="str">
        <x:v>XL</x:v>
      </x:c>
      <x:c r="O27" s="31" t="str">
        <x:v>开发Agent</x:v>
      </x:c>
      <x:c r="P27" s="31" t="str">
        <x:v>I02</x:v>
      </x:c>
      <x:c r="Q27" s="31" t="str">
        <x:v>S1-B 任务协同</x:v>
      </x:c>
      <x:c r="R27" s="33"/>
      <x:c r="S27" s="33"/>
      <x:c r="T27" s="31" t="str">
        <x:v>未开始</x:v>
      </x:c>
      <x:c r="U27" s="29" t="str">
        <x:v>通用审批与领域回调前后端功能、数据库迁移、权限点、接口及测试用例</x:v>
      </x:c>
      <x:c r="V27" s="29" t="str">
        <x:v>主路径可运行；权限、状态、异常、版本和审计校验通过；构建无错误</x:v>
      </x:c>
      <x:c r="W27" s="31" t="str">
        <x:v>待执行</x:v>
      </x:c>
      <x:c r="X27" s="31" t="str">
        <x:v>待执行</x:v>
      </x:c>
      <x:c r="Y27" s="31" t="str">
        <x:v>待执行</x:v>
      </x:c>
      <x:c r="Z27" s="31" t="str">
        <x:v>待执行</x:v>
      </x:c>
      <x:c r="AA27" s="33"/>
      <x:c r="AB27" s="29" t="str"/>
    </x:row>
    <x:row r="28" ht="42" customHeight="1">
      <x:c r="A28" s="31" t="n">
        <x:v>23</x:v>
      </x:c>
      <x:c r="B28" s="31" t="str">
        <x:v>S1-010</x:v>
      </x:c>
      <x:c r="C28" s="31" t="str">
        <x:v>阶段1：平台与数据底座</x:v>
      </x:c>
      <x:c r="D28" s="31" t="str">
        <x:v>V1.0基线</x:v>
      </x:c>
      <x:c r="E28" s="31" t="str">
        <x:v>工作台</x:v>
      </x:c>
      <x:c r="F28" s="31" t="str">
        <x:v>统一任务</x:v>
      </x:c>
      <x:c r="G28" s="31" t="str">
        <x:v>统一任务与SLA模型</x:v>
      </x:c>
      <x:c r="H28" s="31" t="str">
        <x:v>平台</x:v>
      </x:c>
      <x:c r="I28" s="29" t="str">
        <x:v>platform/task</x:v>
      </x:c>
      <x:c r="J28" s="29" t="str">
        <x:v>统一审批、业务待办、责任人、优先级、截止时间、逾期和完成证据。</x:v>
      </x:c>
      <x:c r="K28" s="29" t="str">
        <x:v>任务状态不替代领域状态；重复事件不得生成重复待办。</x:v>
      </x:c>
      <x:c r="L28" s="29" t="str">
        <x:v>S1-009</x:v>
      </x:c>
      <x:c r="M28" s="31" t="str">
        <x:v>P0</x:v>
      </x:c>
      <x:c r="N28" s="31" t="str">
        <x:v>L</x:v>
      </x:c>
      <x:c r="O28" s="31" t="str">
        <x:v>开发Agent</x:v>
      </x:c>
      <x:c r="P28" s="31" t="str">
        <x:v>I02</x:v>
      </x:c>
      <x:c r="Q28" s="31" t="str">
        <x:v>S1-B 任务协同</x:v>
      </x:c>
      <x:c r="R28" s="33"/>
      <x:c r="S28" s="33"/>
      <x:c r="T28" s="31" t="str">
        <x:v>未开始</x:v>
      </x:c>
      <x:c r="U28" s="29" t="str">
        <x:v>统一任务与SLA模型前后端功能、数据库迁移、权限点、接口及测试用例</x:v>
      </x:c>
      <x:c r="V28" s="29" t="str">
        <x:v>主路径可运行；权限、状态、异常、版本和审计校验通过；构建无错误</x:v>
      </x:c>
      <x:c r="W28" s="31" t="str">
        <x:v>待执行</x:v>
      </x:c>
      <x:c r="X28" s="31" t="str">
        <x:v>待执行</x:v>
      </x:c>
      <x:c r="Y28" s="31" t="str">
        <x:v>待执行</x:v>
      </x:c>
      <x:c r="Z28" s="31" t="str">
        <x:v>待执行</x:v>
      </x:c>
      <x:c r="AA28" s="33"/>
      <x:c r="AB28" s="29" t="str"/>
    </x:row>
    <x:row r="29" ht="42" customHeight="1">
      <x:c r="A29" s="31" t="n">
        <x:v>24</x:v>
      </x:c>
      <x:c r="B29" s="31" t="str">
        <x:v>S1-011</x:v>
      </x:c>
      <x:c r="C29" s="31" t="str">
        <x:v>阶段1：平台与数据底座</x:v>
      </x:c>
      <x:c r="D29" s="31" t="str">
        <x:v>V1.0基线</x:v>
      </x:c>
      <x:c r="E29" s="31" t="str">
        <x:v>工作台</x:v>
      </x:c>
      <x:c r="F29" s="31" t="str">
        <x:v>首页骨架</x:v>
      </x:c>
      <x:c r="G29" s="31" t="str">
        <x:v>角色化工作台骨架</x:v>
      </x:c>
      <x:c r="H29" s="31" t="str">
        <x:v>功能</x:v>
      </x:c>
      <x:c r="I29" s="29" t="str">
        <x:v>workbench</x:v>
      </x:c>
      <x:c r="J29" s="29" t="str">
        <x:v>搭建登录首页、待办、审批、预警、业务进度、指标、消息和快捷入口区块。</x:v>
      </x:c>
      <x:c r="K29" s="29" t="str">
        <x:v>工作台即首页；无普通二级侧栏；区块按角色和数据域显示。</x:v>
      </x:c>
      <x:c r="L29" s="29" t="str">
        <x:v>S1-006,S1-007,S1-010</x:v>
      </x:c>
      <x:c r="M29" s="31" t="str">
        <x:v>P0</x:v>
      </x:c>
      <x:c r="N29" s="31" t="str">
        <x:v>L</x:v>
      </x:c>
      <x:c r="O29" s="31" t="str">
        <x:v>开发Agent</x:v>
      </x:c>
      <x:c r="P29" s="31" t="str">
        <x:v>I02</x:v>
      </x:c>
      <x:c r="Q29" s="31" t="str">
        <x:v>S1-B 任务协同</x:v>
      </x:c>
      <x:c r="R29" s="33"/>
      <x:c r="S29" s="33"/>
      <x:c r="T29" s="31" t="str">
        <x:v>未开始</x:v>
      </x:c>
      <x:c r="U29" s="29" t="str">
        <x:v>角色化工作台骨架前后端功能、数据库迁移、权限点、接口及测试用例</x:v>
      </x:c>
      <x:c r="V29" s="29" t="str">
        <x:v>主路径可运行；权限、状态、异常、版本和审计校验通过；构建无错误</x:v>
      </x:c>
      <x:c r="W29" s="31" t="str">
        <x:v>待执行</x:v>
      </x:c>
      <x:c r="X29" s="31" t="str">
        <x:v>待执行</x:v>
      </x:c>
      <x:c r="Y29" s="31" t="str">
        <x:v>待执行</x:v>
      </x:c>
      <x:c r="Z29" s="31" t="str">
        <x:v>待执行</x:v>
      </x:c>
      <x:c r="AA29" s="33"/>
      <x:c r="AB29" s="29" t="str"/>
    </x:row>
    <x:row r="30" ht="42" customHeight="1">
      <x:c r="A30" s="31" t="n">
        <x:v>25</x:v>
      </x:c>
      <x:c r="B30" s="31" t="str">
        <x:v>S1-012</x:v>
      </x:c>
      <x:c r="C30" s="31" t="str">
        <x:v>阶段1：平台与数据底座</x:v>
      </x:c>
      <x:c r="D30" s="31" t="str">
        <x:v>V1.0基线</x:v>
      </x:c>
      <x:c r="E30" s="31" t="str">
        <x:v>系统管理</x:v>
      </x:c>
      <x:c r="F30" s="31" t="str">
        <x:v>消息通知</x:v>
      </x:c>
      <x:c r="G30" s="31" t="str">
        <x:v>站内消息与通知模板</x:v>
      </x:c>
      <x:c r="H30" s="31" t="str">
        <x:v>平台</x:v>
      </x:c>
      <x:c r="I30" s="29" t="str">
        <x:v>platform/notification</x:v>
      </x:c>
      <x:c r="J30" s="29" t="str">
        <x:v>实现站内消息、模板、订阅、已读和安全链接，预留邮件/IM通道。</x:v>
      </x:c>
      <x:c r="K30" s="29" t="str">
        <x:v>通知只做提醒，不暴露敏感报价、银行或其他供应商信息。</x:v>
      </x:c>
      <x:c r="L30" s="29" t="str">
        <x:v>S1-010</x:v>
      </x:c>
      <x:c r="M30" s="31" t="str">
        <x:v>P1</x:v>
      </x:c>
      <x:c r="N30" s="31" t="str">
        <x:v>M</x:v>
      </x:c>
      <x:c r="O30" s="31" t="str">
        <x:v>开发Agent</x:v>
      </x:c>
      <x:c r="P30" s="31" t="str">
        <x:v>I02</x:v>
      </x:c>
      <x:c r="Q30" s="31" t="str">
        <x:v>S1-B 任务协同</x:v>
      </x:c>
      <x:c r="R30" s="33"/>
      <x:c r="S30" s="33"/>
      <x:c r="T30" s="31" t="str">
        <x:v>未开始</x:v>
      </x:c>
      <x:c r="U30" s="29" t="str">
        <x:v>站内消息与通知模板前后端功能、数据库迁移、权限点、接口及测试用例</x:v>
      </x:c>
      <x:c r="V30" s="29" t="str">
        <x:v>主路径可运行；权限、状态、异常、版本和审计校验通过；构建无错误</x:v>
      </x:c>
      <x:c r="W30" s="31" t="str">
        <x:v>待执行</x:v>
      </x:c>
      <x:c r="X30" s="31" t="str">
        <x:v>待执行</x:v>
      </x:c>
      <x:c r="Y30" s="31" t="str">
        <x:v>待执行</x:v>
      </x:c>
      <x:c r="Z30" s="31" t="str">
        <x:v>待执行</x:v>
      </x:c>
      <x:c r="AA30" s="33"/>
      <x:c r="AB30" s="29" t="str"/>
    </x:row>
    <x:row r="31" ht="42" customHeight="1">
      <x:c r="A31" s="31" t="n">
        <x:v>26</x:v>
      </x:c>
      <x:c r="B31" s="31" t="str">
        <x:v>S1-013</x:v>
      </x:c>
      <x:c r="C31" s="31" t="str">
        <x:v>阶段1：平台与数据底座</x:v>
      </x:c>
      <x:c r="D31" s="31" t="str">
        <x:v>V1.0基线</x:v>
      </x:c>
      <x:c r="E31" s="31" t="str">
        <x:v>系统管理</x:v>
      </x:c>
      <x:c r="F31" s="31" t="str">
        <x:v>附件服务</x:v>
      </x:c>
      <x:c r="G31" s="31" t="str">
        <x:v>附件与对象存储服务</x:v>
      </x:c>
      <x:c r="H31" s="31" t="str">
        <x:v>平台</x:v>
      </x:c>
      <x:c r="I31" s="29" t="str">
        <x:v>platform/attachment</x:v>
      </x:c>
      <x:c r="J31" s="29" t="str">
        <x:v>实现上传、版本、分类、摘要、病毒/类型校验、权限下载和业务对象关联。</x:v>
      </x:c>
      <x:c r="K31" s="29" t="str">
        <x:v>附件不存数据库大字段；下载时重新校验权限并审计。</x:v>
      </x:c>
      <x:c r="L31" s="29" t="str">
        <x:v>S1-003,S1-006</x:v>
      </x:c>
      <x:c r="M31" s="31" t="str">
        <x:v>P0</x:v>
      </x:c>
      <x:c r="N31" s="31" t="str">
        <x:v>L</x:v>
      </x:c>
      <x:c r="O31" s="31" t="str">
        <x:v>开发Agent</x:v>
      </x:c>
      <x:c r="P31" s="31" t="str">
        <x:v>I02</x:v>
      </x:c>
      <x:c r="Q31" s="31" t="str">
        <x:v>S1-B 任务协同</x:v>
      </x:c>
      <x:c r="R31" s="33"/>
      <x:c r="S31" s="33"/>
      <x:c r="T31" s="31" t="str">
        <x:v>未开始</x:v>
      </x:c>
      <x:c r="U31" s="29" t="str">
        <x:v>附件与对象存储服务前后端功能、数据库迁移、权限点、接口及测试用例</x:v>
      </x:c>
      <x:c r="V31" s="29" t="str">
        <x:v>主路径可运行；权限、状态、异常、版本和审计校验通过；构建无错误</x:v>
      </x:c>
      <x:c r="W31" s="31" t="str">
        <x:v>待执行</x:v>
      </x:c>
      <x:c r="X31" s="31" t="str">
        <x:v>待执行</x:v>
      </x:c>
      <x:c r="Y31" s="31" t="str">
        <x:v>待执行</x:v>
      </x:c>
      <x:c r="Z31" s="31" t="str">
        <x:v>待执行</x:v>
      </x:c>
      <x:c r="AA31" s="33"/>
      <x:c r="AB31" s="29" t="str"/>
    </x:row>
    <x:row r="32" ht="42" customHeight="1">
      <x:c r="A32" s="31" t="n">
        <x:v>27</x:v>
      </x:c>
      <x:c r="B32" s="31" t="str">
        <x:v>S1-014</x:v>
      </x:c>
      <x:c r="C32" s="31" t="str">
        <x:v>阶段1：平台与数据底座</x:v>
      </x:c>
      <x:c r="D32" s="31" t="str">
        <x:v>V1.0基线</x:v>
      </x:c>
      <x:c r="E32" s="31" t="str">
        <x:v>系统管理</x:v>
      </x:c>
      <x:c r="F32" s="31" t="str">
        <x:v>审计日志</x:v>
      </x:c>
      <x:c r="G32" s="31" t="str">
        <x:v>操作业务与安全审计</x:v>
      </x:c>
      <x:c r="H32" s="31" t="str">
        <x:v>平台</x:v>
      </x:c>
      <x:c r="I32" s="29" t="str">
        <x:v>platform/audit</x:v>
      </x:c>
      <x:c r="J32" s="29" t="str">
        <x:v>记录登录、权限、审批、状态、版本、导出、附件和敏感字段访问。</x:v>
      </x:c>
      <x:c r="K32" s="29" t="str">
        <x:v>日志包含操作者、时间、对象、前后值、原因和追踪ID；不可由普通用户删除。</x:v>
      </x:c>
      <x:c r="L32" s="29" t="str">
        <x:v>S1-003,S1-006</x:v>
      </x:c>
      <x:c r="M32" s="31" t="str">
        <x:v>P0</x:v>
      </x:c>
      <x:c r="N32" s="31" t="str">
        <x:v>L</x:v>
      </x:c>
      <x:c r="O32" s="31" t="str">
        <x:v>开发Agent</x:v>
      </x:c>
      <x:c r="P32" s="31" t="str">
        <x:v>I02</x:v>
      </x:c>
      <x:c r="Q32" s="31" t="str">
        <x:v>S1-D 工程底座</x:v>
      </x:c>
      <x:c r="R32" s="33"/>
      <x:c r="S32" s="33"/>
      <x:c r="T32" s="31" t="str">
        <x:v>未开始</x:v>
      </x:c>
      <x:c r="U32" s="29" t="str">
        <x:v>操作业务与安全审计前后端功能、数据库迁移、权限点、接口及测试用例</x:v>
      </x:c>
      <x:c r="V32" s="29" t="str">
        <x:v>主路径可运行；权限、状态、异常、版本和审计校验通过；构建无错误</x:v>
      </x:c>
      <x:c r="W32" s="31" t="str">
        <x:v>待执行</x:v>
      </x:c>
      <x:c r="X32" s="31" t="str">
        <x:v>待执行</x:v>
      </x:c>
      <x:c r="Y32" s="31" t="str">
        <x:v>待执行</x:v>
      </x:c>
      <x:c r="Z32" s="31" t="str">
        <x:v>待执行</x:v>
      </x:c>
      <x:c r="AA32" s="33"/>
      <x:c r="AB32" s="29" t="str"/>
    </x:row>
    <x:row r="33" ht="42" customHeight="1">
      <x:c r="A33" s="31" t="n">
        <x:v>28</x:v>
      </x:c>
      <x:c r="B33" s="31" t="str">
        <x:v>S1-015</x:v>
      </x:c>
      <x:c r="C33" s="31" t="str">
        <x:v>阶段1：平台与数据底座</x:v>
      </x:c>
      <x:c r="D33" s="31" t="str">
        <x:v>V1.0基线</x:v>
      </x:c>
      <x:c r="E33" s="31" t="str">
        <x:v>系统管理</x:v>
      </x:c>
      <x:c r="F33" s="31" t="str">
        <x:v>配置中心</x:v>
      </x:c>
      <x:c r="G33" s="31" t="str">
        <x:v>字典参数模板与编号规则</x:v>
      </x:c>
      <x:c r="H33" s="31" t="str">
        <x:v>平台</x:v>
      </x:c>
      <x:c r="I33" s="29" t="str">
        <x:v>platform/config</x:v>
      </x:c>
      <x:c r="J33" s="29" t="str">
        <x:v>实现业务字典、参数、模板、编号规则、启停用和变更记录。</x:v>
      </x:c>
      <x:c r="K33" s="29" t="str">
        <x:v>已引用值不可物理删除；配置变更有生效范围与审计。</x:v>
      </x:c>
      <x:c r="L33" s="29" t="str">
        <x:v>S1-002,S1-014</x:v>
      </x:c>
      <x:c r="M33" s="31" t="str">
        <x:v>P1</x:v>
      </x:c>
      <x:c r="N33" s="31" t="str">
        <x:v>M</x:v>
      </x:c>
      <x:c r="O33" s="31" t="str">
        <x:v>开发Agent</x:v>
      </x:c>
      <x:c r="P33" s="31" t="str">
        <x:v>I02</x:v>
      </x:c>
      <x:c r="Q33" s="31" t="str">
        <x:v>S1-D 工程底座</x:v>
      </x:c>
      <x:c r="R33" s="33"/>
      <x:c r="S33" s="33"/>
      <x:c r="T33" s="31" t="str">
        <x:v>未开始</x:v>
      </x:c>
      <x:c r="U33" s="29" t="str">
        <x:v>字典参数模板与编号规则前后端功能、数据库迁移、权限点、接口及测试用例</x:v>
      </x:c>
      <x:c r="V33" s="29" t="str">
        <x:v>主路径可运行；权限、状态、异常、版本和审计校验通过；构建无错误</x:v>
      </x:c>
      <x:c r="W33" s="31" t="str">
        <x:v>待执行</x:v>
      </x:c>
      <x:c r="X33" s="31" t="str">
        <x:v>待执行</x:v>
      </x:c>
      <x:c r="Y33" s="31" t="str">
        <x:v>待执行</x:v>
      </x:c>
      <x:c r="Z33" s="31" t="str">
        <x:v>待执行</x:v>
      </x:c>
      <x:c r="AA33" s="33"/>
      <x:c r="AB33" s="29" t="str"/>
    </x:row>
    <x:row r="34" ht="42" customHeight="1">
      <x:c r="A34" s="31" t="n">
        <x:v>29</x:v>
      </x:c>
      <x:c r="B34" s="31" t="str">
        <x:v>S1-016</x:v>
      </x:c>
      <x:c r="C34" s="31" t="str">
        <x:v>阶段1：平台与数据底座</x:v>
      </x:c>
      <x:c r="D34" s="31" t="str">
        <x:v>V1.0基线</x:v>
      </x:c>
      <x:c r="E34" s="31" t="str">
        <x:v>基础数据中心</x:v>
      </x:c>
      <x:c r="F34" s="31" t="str">
        <x:v>组织地点</x:v>
      </x:c>
      <x:c r="G34" s="31" t="str">
        <x:v>组织工厂与交付地点主数据</x:v>
      </x:c>
      <x:c r="H34" s="31" t="str">
        <x:v>功能</x:v>
      </x:c>
      <x:c r="I34" s="29" t="str">
        <x:v>master-data/org</x:v>
      </x:c>
      <x:c r="J34" s="29" t="str">
        <x:v>实现企业/采购组织、工厂、仓库/收货地点、交付地点及映射。</x:v>
      </x:c>
      <x:c r="K34" s="29" t="str">
        <x:v>停用不删除历史；新增业务阻断或预警。</x:v>
      </x:c>
      <x:c r="L34" s="29" t="str">
        <x:v>S1-007,S1-015</x:v>
      </x:c>
      <x:c r="M34" s="31" t="str">
        <x:v>P0</x:v>
      </x:c>
      <x:c r="N34" s="31" t="str">
        <x:v>L</x:v>
      </x:c>
      <x:c r="O34" s="31" t="str">
        <x:v>开发Agent</x:v>
      </x:c>
      <x:c r="P34" s="31" t="str">
        <x:v>I03</x:v>
      </x:c>
      <x:c r="Q34" s="31" t="str">
        <x:v>S1-C 基础数据</x:v>
      </x:c>
      <x:c r="R34" s="33"/>
      <x:c r="S34" s="33"/>
      <x:c r="T34" s="31" t="str">
        <x:v>未开始</x:v>
      </x:c>
      <x:c r="U34" s="29" t="str">
        <x:v>组织工厂与交付地点主数据前后端功能、数据库迁移、权限点、接口及测试用例</x:v>
      </x:c>
      <x:c r="V34" s="29" t="str">
        <x:v>主路径可运行；权限、状态、异常、版本和审计校验通过；构建无错误</x:v>
      </x:c>
      <x:c r="W34" s="31" t="str">
        <x:v>待执行</x:v>
      </x:c>
      <x:c r="X34" s="31" t="str">
        <x:v>待执行</x:v>
      </x:c>
      <x:c r="Y34" s="31" t="str">
        <x:v>待执行</x:v>
      </x:c>
      <x:c r="Z34" s="31" t="str">
        <x:v>待执行</x:v>
      </x:c>
      <x:c r="AA34" s="33"/>
      <x:c r="AB34" s="29" t="str"/>
    </x:row>
    <x:row r="35" ht="42" customHeight="1">
      <x:c r="A35" s="31" t="n">
        <x:v>30</x:v>
      </x:c>
      <x:c r="B35" s="31" t="str">
        <x:v>S1-017</x:v>
      </x:c>
      <x:c r="C35" s="31" t="str">
        <x:v>阶段1：平台与数据底座</x:v>
      </x:c>
      <x:c r="D35" s="31" t="str">
        <x:v>V1.0基线</x:v>
      </x:c>
      <x:c r="E35" s="31" t="str">
        <x:v>基础数据中心</x:v>
      </x:c>
      <x:c r="F35" s="31" t="str">
        <x:v>物料品类</x:v>
      </x:c>
      <x:c r="G35" s="31" t="str">
        <x:v>物料品类与公共代码主数据</x:v>
      </x:c>
      <x:c r="H35" s="31" t="str">
        <x:v>功能</x:v>
      </x:c>
      <x:c r="I35" s="29" t="str">
        <x:v>master-data/material</x:v>
      </x:c>
      <x:c r="J35" s="29" t="str">
        <x:v>实现物料/版本、品类、单位、币种、税码和必要转换关系。</x:v>
      </x:c>
      <x:c r="K35" s="29" t="str">
        <x:v>物料版本和单位转换必须可追溯；关键编码唯一。</x:v>
      </x:c>
      <x:c r="L35" s="29" t="str">
        <x:v>S1-015,S1-016</x:v>
      </x:c>
      <x:c r="M35" s="31" t="str">
        <x:v>P0</x:v>
      </x:c>
      <x:c r="N35" s="31" t="str">
        <x:v>L</x:v>
      </x:c>
      <x:c r="O35" s="31" t="str">
        <x:v>开发Agent</x:v>
      </x:c>
      <x:c r="P35" s="31" t="str">
        <x:v>I03</x:v>
      </x:c>
      <x:c r="Q35" s="31" t="str">
        <x:v>S1-C 基础数据</x:v>
      </x:c>
      <x:c r="R35" s="33"/>
      <x:c r="S35" s="33"/>
      <x:c r="T35" s="31" t="str">
        <x:v>未开始</x:v>
      </x:c>
      <x:c r="U35" s="29" t="str">
        <x:v>物料品类与公共代码主数据前后端功能、数据库迁移、权限点、接口及测试用例</x:v>
      </x:c>
      <x:c r="V35" s="29" t="str">
        <x:v>主路径可运行；权限、状态、异常、版本和审计校验通过；构建无错误</x:v>
      </x:c>
      <x:c r="W35" s="31" t="str">
        <x:v>待执行</x:v>
      </x:c>
      <x:c r="X35" s="31" t="str">
        <x:v>待执行</x:v>
      </x:c>
      <x:c r="Y35" s="31" t="str">
        <x:v>待执行</x:v>
      </x:c>
      <x:c r="Z35" s="31" t="str">
        <x:v>待执行</x:v>
      </x:c>
      <x:c r="AA35" s="33"/>
      <x:c r="AB35" s="29" t="str"/>
    </x:row>
    <x:row r="36" ht="42" customHeight="1">
      <x:c r="A36" s="31" t="n">
        <x:v>31</x:v>
      </x:c>
      <x:c r="B36" s="31" t="str">
        <x:v>S1-018</x:v>
      </x:c>
      <x:c r="C36" s="31" t="str">
        <x:v>阶段1：平台与数据底座</x:v>
      </x:c>
      <x:c r="D36" s="31" t="str">
        <x:v>V1.0基线</x:v>
      </x:c>
      <x:c r="E36" s="31" t="str">
        <x:v>基础数据中心</x:v>
      </x:c>
      <x:c r="F36" s="31" t="str">
        <x:v>映射同步</x:v>
      </x:c>
      <x:c r="G36" s="31" t="str">
        <x:v>外部主数据映射与同步</x:v>
      </x:c>
      <x:c r="H36" s="31" t="str">
        <x:v>集成</x:v>
      </x:c>
      <x:c r="I36" s="29" t="str">
        <x:v>master-data/integration</x:v>
      </x:c>
      <x:c r="J36" s="29" t="str">
        <x:v>建立source_system、external_id/version映射、增量同步、错误任务和人工纠正。</x:v>
      </x:c>
      <x:c r="K36" s="29" t="str">
        <x:v>SRM不覆盖权威源字段；重复、乱序、停用和映射冲突可处置。</x:v>
      </x:c>
      <x:c r="L36" s="29" t="str">
        <x:v>S1-016,S1-017</x:v>
      </x:c>
      <x:c r="M36" s="31" t="str">
        <x:v>P0</x:v>
      </x:c>
      <x:c r="N36" s="31" t="str">
        <x:v>XL</x:v>
      </x:c>
      <x:c r="O36" s="31" t="str">
        <x:v>开发Agent</x:v>
      </x:c>
      <x:c r="P36" s="31" t="str">
        <x:v>I03</x:v>
      </x:c>
      <x:c r="Q36" s="31" t="str">
        <x:v>S1-C 基础数据</x:v>
      </x:c>
      <x:c r="R36" s="33"/>
      <x:c r="S36" s="33"/>
      <x:c r="T36" s="31" t="str">
        <x:v>未开始</x:v>
      </x:c>
      <x:c r="U36" s="29" t="str">
        <x:v>外部主数据映射与同步接口契约、实现、幂等/补偿与联调用例</x:v>
      </x:c>
      <x:c r="V36" s="29" t="str">
        <x:v>主流程、重复、乱序、失败重试和对账场景通过；业务状态不被接口失败误改</x:v>
      </x:c>
      <x:c r="W36" s="31" t="str">
        <x:v>待执行</x:v>
      </x:c>
      <x:c r="X36" s="31" t="str">
        <x:v>待执行</x:v>
      </x:c>
      <x:c r="Y36" s="31" t="str">
        <x:v>待执行</x:v>
      </x:c>
      <x:c r="Z36" s="31" t="str">
        <x:v>待执行</x:v>
      </x:c>
      <x:c r="AA36" s="33"/>
      <x:c r="AB36" s="29" t="str"/>
    </x:row>
    <x:row r="37" ht="42" customHeight="1">
      <x:c r="A37" s="31" t="n">
        <x:v>32</x:v>
      </x:c>
      <x:c r="B37" s="31" t="str">
        <x:v>S1-019</x:v>
      </x:c>
      <x:c r="C37" s="31" t="str">
        <x:v>阶段1：平台与数据底座</x:v>
      </x:c>
      <x:c r="D37" s="31" t="str">
        <x:v>V1.0基线</x:v>
      </x:c>
      <x:c r="E37" s="31" t="str">
        <x:v>系统管理</x:v>
      </x:c>
      <x:c r="F37" s="31" t="str">
        <x:v>集成底座</x:v>
      </x:c>
      <x:c r="G37" s="31" t="str">
        <x:v>Outbox Inbox与任务监控</x:v>
      </x:c>
      <x:c r="H37" s="31" t="str">
        <x:v>平台</x:v>
      </x:c>
      <x:c r="I37" s="29" t="str">
        <x:v>platform/integration</x:v>
      </x:c>
      <x:c r="J37" s="29" t="str">
        <x:v>实现事件出站、入站幂等、重试、死信/人工处理、追踪和接口任务监控。</x:v>
      </x:c>
      <x:c r="K37" s="29" t="str">
        <x:v>业务状态与接口状态分离；旧版本不得覆盖新版本。</x:v>
      </x:c>
      <x:c r="L37" s="29" t="str">
        <x:v>S1-002,S1-014</x:v>
      </x:c>
      <x:c r="M37" s="31" t="str">
        <x:v>P0</x:v>
      </x:c>
      <x:c r="N37" s="31" t="str">
        <x:v>XL</x:v>
      </x:c>
      <x:c r="O37" s="31" t="str">
        <x:v>开发Agent</x:v>
      </x:c>
      <x:c r="P37" s="31" t="str">
        <x:v>I03</x:v>
      </x:c>
      <x:c r="Q37" s="31" t="str">
        <x:v>S1-D 工程底座</x:v>
      </x:c>
      <x:c r="R37" s="33"/>
      <x:c r="S37" s="33"/>
      <x:c r="T37" s="31" t="str">
        <x:v>未开始</x:v>
      </x:c>
      <x:c r="U37" s="29" t="str">
        <x:v>Outbox Inbox与任务监控前后端功能、数据库迁移、权限点、接口及测试用例</x:v>
      </x:c>
      <x:c r="V37" s="29" t="str">
        <x:v>主路径可运行；权限、状态、异常、版本和审计校验通过；构建无错误</x:v>
      </x:c>
      <x:c r="W37" s="31" t="str">
        <x:v>待执行</x:v>
      </x:c>
      <x:c r="X37" s="31" t="str">
        <x:v>待执行</x:v>
      </x:c>
      <x:c r="Y37" s="31" t="str">
        <x:v>待执行</x:v>
      </x:c>
      <x:c r="Z37" s="31" t="str">
        <x:v>待执行</x:v>
      </x:c>
      <x:c r="AA37" s="33"/>
      <x:c r="AB37" s="29" t="str"/>
    </x:row>
    <x:row r="38" ht="42" customHeight="1">
      <x:c r="A38" s="31" t="n">
        <x:v>33</x:v>
      </x:c>
      <x:c r="B38" s="31" t="str">
        <x:v>S1-020</x:v>
      </x:c>
      <x:c r="C38" s="31" t="str">
        <x:v>阶段1：平台与数据底座</x:v>
      </x:c>
      <x:c r="D38" s="31" t="str">
        <x:v>V1.0基线</x:v>
      </x:c>
      <x:c r="E38" s="31" t="str">
        <x:v>产品体验</x:v>
      </x:c>
      <x:c r="F38" s="31" t="str">
        <x:v>通用组件</x:v>
      </x:c>
      <x:c r="G38" s="31" t="str">
        <x:v>列表表单批量与错误体验基线</x:v>
      </x:c>
      <x:c r="H38" s="31" t="str">
        <x:v>平台</x:v>
      </x:c>
      <x:c r="I38" s="29" t="str">
        <x:v>frontend/shared</x:v>
      </x:c>
      <x:c r="J38" s="29" t="str">
        <x:v>统一服务端分页、筛选、详情时间线、表单校验、批量导入导出、错误明细和状态标签。</x:v>
      </x:c>
      <x:c r="K38" s="29" t="str">
        <x:v>禁止前端拉全量；批任务显示进度、结果和可重试错误。</x:v>
      </x:c>
      <x:c r="L38" s="29" t="str">
        <x:v>S1-001,S1-015</x:v>
      </x:c>
      <x:c r="M38" s="31" t="str">
        <x:v>P1</x:v>
      </x:c>
      <x:c r="N38" s="31" t="str">
        <x:v>L</x:v>
      </x:c>
      <x:c r="O38" s="31" t="str">
        <x:v>开发Agent</x:v>
      </x:c>
      <x:c r="P38" s="31" t="str">
        <x:v>I03</x:v>
      </x:c>
      <x:c r="Q38" s="31" t="str">
        <x:v>S1-D 工程底座</x:v>
      </x:c>
      <x:c r="R38" s="33"/>
      <x:c r="S38" s="33"/>
      <x:c r="T38" s="31" t="str">
        <x:v>未开始</x:v>
      </x:c>
      <x:c r="U38" s="29" t="str">
        <x:v>列表表单批量与错误体验基线前后端功能、数据库迁移、权限点、接口及测试用例</x:v>
      </x:c>
      <x:c r="V38" s="29" t="str">
        <x:v>主路径可运行；权限、状态、异常、版本和审计校验通过；构建无错误</x:v>
      </x:c>
      <x:c r="W38" s="31" t="str">
        <x:v>待执行</x:v>
      </x:c>
      <x:c r="X38" s="31" t="str">
        <x:v>待执行</x:v>
      </x:c>
      <x:c r="Y38" s="31" t="str">
        <x:v>待执行</x:v>
      </x:c>
      <x:c r="Z38" s="31" t="str">
        <x:v>待执行</x:v>
      </x:c>
      <x:c r="AA38" s="33"/>
      <x:c r="AB38" s="29" t="str"/>
    </x:row>
    <x:row r="39" ht="42" customHeight="1">
      <x:c r="A39" s="31" t="n">
        <x:v>34</x:v>
      </x:c>
      <x:c r="B39" s="31" t="str">
        <x:v>S1-021</x:v>
      </x:c>
      <x:c r="C39" s="31" t="str">
        <x:v>阶段1：平台与数据底座</x:v>
      </x:c>
      <x:c r="D39" s="31" t="str">
        <x:v>V1.0基线</x:v>
      </x:c>
      <x:c r="E39" s="31" t="str">
        <x:v>非功能</x:v>
      </x:c>
      <x:c r="F39" s="31" t="str">
        <x:v>安全运维</x:v>
      </x:c>
      <x:c r="G39" s="31" t="str">
        <x:v>安全监控备份与恢复基线</x:v>
      </x:c>
      <x:c r="H39" s="31" t="str">
        <x:v>工程</x:v>
      </x:c>
      <x:c r="I39" s="29" t="str">
        <x:v>ops/security</x:v>
      </x:c>
      <x:c r="J39" s="29" t="str">
        <x:v>配置安全头、密钥、日志脱敏、健康检查、指标、告警、备份和恢复脚本。</x:v>
      </x:c>
      <x:c r="K39" s="29" t="str">
        <x:v>凭据不入库/日志；备份恢复演练通过；服务异常可定位。</x:v>
      </x:c>
      <x:c r="L39" s="29" t="str">
        <x:v>S1-001,S1-002,S1-014</x:v>
      </x:c>
      <x:c r="M39" s="31" t="str">
        <x:v>P0</x:v>
      </x:c>
      <x:c r="N39" s="31" t="str">
        <x:v>XL</x:v>
      </x:c>
      <x:c r="O39" s="31" t="str">
        <x:v>开发Agent/运维</x:v>
      </x:c>
      <x:c r="P39" s="31" t="str">
        <x:v>I03</x:v>
      </x:c>
      <x:c r="Q39" s="31" t="str">
        <x:v>S1-D 工程底座</x:v>
      </x:c>
      <x:c r="R39" s="33"/>
      <x:c r="S39" s="33"/>
      <x:c r="T39" s="31" t="str">
        <x:v>未开始</x:v>
      </x:c>
      <x:c r="U39" s="29" t="str">
        <x:v>安全监控备份与恢复基线前后端功能、数据库迁移、权限点、接口及测试用例</x:v>
      </x:c>
      <x:c r="V39" s="29" t="str">
        <x:v>主路径可运行；权限、状态、异常、版本和审计校验通过；构建无错误</x:v>
      </x:c>
      <x:c r="W39" s="31" t="str">
        <x:v>待执行</x:v>
      </x:c>
      <x:c r="X39" s="31" t="str">
        <x:v>待执行</x:v>
      </x:c>
      <x:c r="Y39" s="31" t="str">
        <x:v>待执行</x:v>
      </x:c>
      <x:c r="Z39" s="31" t="str">
        <x:v>待执行</x:v>
      </x:c>
      <x:c r="AA39" s="33"/>
      <x:c r="AB39" s="29" t="str"/>
    </x:row>
    <x:row r="40" ht="42" customHeight="1">
      <x:c r="A40" s="31" t="n">
        <x:v>35</x:v>
      </x:c>
      <x:c r="B40" s="31" t="str">
        <x:v>S2-001</x:v>
      </x:c>
      <x:c r="C40" s="31" t="str">
        <x:v>阶段2：供应商与供应源基础</x:v>
      </x:c>
      <x:c r="D40" s="31" t="str">
        <x:v>V1.0基线</x:v>
      </x:c>
      <x:c r="E40" s="31" t="str">
        <x:v>供应商管理</x:v>
      </x:c>
      <x:c r="F40" s="31" t="str">
        <x:v>资源池</x:v>
      </x:c>
      <x:c r="G40" s="31" t="str">
        <x:v>供应商资源池</x:v>
      </x:c>
      <x:c r="H40" s="31" t="str">
        <x:v>功能</x:v>
      </x:c>
      <x:c r="I40" s="29" t="str">
        <x:v>supplier/resource</x:v>
      </x:c>
      <x:c r="J40" s="29" t="str">
        <x:v>建立潜在供应商线索、来源、品类能力、联系人、重复识别和归并。</x:v>
      </x:c>
      <x:c r="K40" s="29" t="str">
        <x:v>潜在资源不等于准入供应商；敏感字段按权限显示。</x:v>
      </x:c>
      <x:c r="L40" s="29" t="str">
        <x:v>阶段1完成</x:v>
      </x:c>
      <x:c r="M40" s="31" t="str">
        <x:v>P0</x:v>
      </x:c>
      <x:c r="N40" s="31" t="str">
        <x:v>L</x:v>
      </x:c>
      <x:c r="O40" s="31" t="str">
        <x:v>开发Agent</x:v>
      </x:c>
      <x:c r="P40" s="31" t="str">
        <x:v>I04</x:v>
      </x:c>
      <x:c r="Q40" s="31" t="str">
        <x:v>S2-A 供应商主体</x:v>
      </x:c>
      <x:c r="R40" s="33"/>
      <x:c r="S40" s="33"/>
      <x:c r="T40" s="31" t="str">
        <x:v>未开始</x:v>
      </x:c>
      <x:c r="U40" s="29" t="str">
        <x:v>供应商资源池前后端功能、数据库迁移、权限点、接口及测试用例</x:v>
      </x:c>
      <x:c r="V40" s="29" t="str">
        <x:v>主路径可运行；权限、状态、异常、版本和审计校验通过；构建无错误</x:v>
      </x:c>
      <x:c r="W40" s="31" t="str">
        <x:v>待执行</x:v>
      </x:c>
      <x:c r="X40" s="31" t="str">
        <x:v>待执行</x:v>
      </x:c>
      <x:c r="Y40" s="31" t="str">
        <x:v>待执行</x:v>
      </x:c>
      <x:c r="Z40" s="31" t="str">
        <x:v>待执行</x:v>
      </x:c>
      <x:c r="AA40" s="33"/>
      <x:c r="AB40" s="29" t="str"/>
    </x:row>
    <x:row r="41" ht="42" customHeight="1">
      <x:c r="A41" s="31" t="n">
        <x:v>36</x:v>
      </x:c>
      <x:c r="B41" s="31" t="str">
        <x:v>S2-002</x:v>
      </x:c>
      <x:c r="C41" s="31" t="str">
        <x:v>阶段2：供应商与供应源基础</x:v>
      </x:c>
      <x:c r="D41" s="31" t="str">
        <x:v>V1.0基线</x:v>
      </x:c>
      <x:c r="E41" s="31" t="str">
        <x:v>供应商管理</x:v>
      </x:c>
      <x:c r="F41" s="31" t="str">
        <x:v>注册邀请</x:v>
      </x:c>
      <x:c r="G41" s="31" t="str">
        <x:v>供应商邀请与自主注册</x:v>
      </x:c>
      <x:c r="H41" s="31" t="str">
        <x:v>功能</x:v>
      </x:c>
      <x:c r="I41" s="29" t="str">
        <x:v>supplier/registration</x:v>
      </x:c>
      <x:c r="J41" s="29" t="str">
        <x:v>支持采购方邀请、注册链接、注册草稿、资料提交和状态跟踪。</x:v>
      </x:c>
      <x:c r="K41" s="29" t="str">
        <x:v>链接限时且一次性；注册资料仅对授权内部用户可见。</x:v>
      </x:c>
      <x:c r="L41" s="29" t="str">
        <x:v>S2-001,S1-013</x:v>
      </x:c>
      <x:c r="M41" s="31" t="str">
        <x:v>P0</x:v>
      </x:c>
      <x:c r="N41" s="31" t="str">
        <x:v>L</x:v>
      </x:c>
      <x:c r="O41" s="31" t="str">
        <x:v>开发Agent</x:v>
      </x:c>
      <x:c r="P41" s="31" t="str">
        <x:v>I04</x:v>
      </x:c>
      <x:c r="Q41" s="31" t="str">
        <x:v>S2-A 供应商主体</x:v>
      </x:c>
      <x:c r="R41" s="33"/>
      <x:c r="S41" s="33"/>
      <x:c r="T41" s="31" t="str">
        <x:v>未开始</x:v>
      </x:c>
      <x:c r="U41" s="29" t="str">
        <x:v>供应商邀请与自主注册前后端功能、数据库迁移、权限点、接口及测试用例</x:v>
      </x:c>
      <x:c r="V41" s="29" t="str">
        <x:v>主路径可运行；权限、状态、异常、版本和审计校验通过；构建无错误</x:v>
      </x:c>
      <x:c r="W41" s="31" t="str">
        <x:v>待执行</x:v>
      </x:c>
      <x:c r="X41" s="31" t="str">
        <x:v>待执行</x:v>
      </x:c>
      <x:c r="Y41" s="31" t="str">
        <x:v>待执行</x:v>
      </x:c>
      <x:c r="Z41" s="31" t="str">
        <x:v>待执行</x:v>
      </x:c>
      <x:c r="AA41" s="33"/>
      <x:c r="AB41" s="29" t="str"/>
    </x:row>
    <x:row r="42" ht="42" customHeight="1">
      <x:c r="A42" s="31" t="n">
        <x:v>37</x:v>
      </x:c>
      <x:c r="B42" s="31" t="str">
        <x:v>S2-003</x:v>
      </x:c>
      <x:c r="C42" s="31" t="str">
        <x:v>阶段2：供应商与供应源基础</x:v>
      </x:c>
      <x:c r="D42" s="31" t="str">
        <x:v>V1.0基线</x:v>
      </x:c>
      <x:c r="E42" s="31" t="str">
        <x:v>供应商管理</x:v>
      </x:c>
      <x:c r="F42" s="31" t="str">
        <x:v>预审合规</x:v>
      </x:c>
      <x:c r="G42" s="31" t="str">
        <x:v>寻源参与资格预审</x:v>
      </x:c>
      <x:c r="H42" s="31" t="str">
        <x:v>功能</x:v>
      </x:c>
      <x:c r="I42" s="29" t="str">
        <x:v>supplier/eligibility</x:v>
      </x:c>
      <x:c r="J42" s="29" t="str">
        <x:v>执行黑名单/制裁、重复主体、保密协议和最低能力检查。</x:v>
      </x:c>
      <x:c r="K42" s="29" t="str">
        <x:v>仅通过最低资格或批准例外的供应商可被正式邀请寻源。</x:v>
      </x:c>
      <x:c r="L42" s="29" t="str">
        <x:v>S2-002,S1-008</x:v>
      </x:c>
      <x:c r="M42" s="31" t="str">
        <x:v>P0</x:v>
      </x:c>
      <x:c r="N42" s="31" t="str">
        <x:v>L</x:v>
      </x:c>
      <x:c r="O42" s="31" t="str">
        <x:v>开发Agent</x:v>
      </x:c>
      <x:c r="P42" s="31" t="str">
        <x:v>I04</x:v>
      </x:c>
      <x:c r="Q42" s="31" t="str">
        <x:v>S2-A 供应商主体</x:v>
      </x:c>
      <x:c r="R42" s="33"/>
      <x:c r="S42" s="33"/>
      <x:c r="T42" s="31" t="str">
        <x:v>未开始</x:v>
      </x:c>
      <x:c r="U42" s="29" t="str">
        <x:v>寻源参与资格预审前后端功能、数据库迁移、权限点、接口及测试用例</x:v>
      </x:c>
      <x:c r="V42" s="29" t="str">
        <x:v>主路径可运行；权限、状态、异常、版本和审计校验通过；构建无错误</x:v>
      </x:c>
      <x:c r="W42" s="31" t="str">
        <x:v>待执行</x:v>
      </x:c>
      <x:c r="X42" s="31" t="str">
        <x:v>待执行</x:v>
      </x:c>
      <x:c r="Y42" s="31" t="str">
        <x:v>待执行</x:v>
      </x:c>
      <x:c r="Z42" s="31" t="str">
        <x:v>待执行</x:v>
      </x:c>
      <x:c r="AA42" s="33"/>
      <x:c r="AB42" s="29" t="str"/>
    </x:row>
    <x:row r="43" ht="42" customHeight="1">
      <x:c r="A43" s="31" t="n">
        <x:v>38</x:v>
      </x:c>
      <x:c r="B43" s="31" t="str">
        <x:v>S2-004</x:v>
      </x:c>
      <x:c r="C43" s="31" t="str">
        <x:v>阶段2：供应商与供应源基础</x:v>
      </x:c>
      <x:c r="D43" s="31" t="str">
        <x:v>V1.0基线</x:v>
      </x:c>
      <x:c r="E43" s="31" t="str">
        <x:v>供应商管理</x:v>
      </x:c>
      <x:c r="F43" s="31" t="str">
        <x:v>供应商档案</x:v>
      </x:c>
      <x:c r="G43" s="31" t="str">
        <x:v>供应商主体档案</x:v>
      </x:c>
      <x:c r="H43" s="31" t="str">
        <x:v>功能</x:v>
      </x:c>
      <x:c r="I43" s="29" t="str">
        <x:v>supplier/profile</x:v>
      </x:c>
      <x:c r="J43" s="29" t="str">
        <x:v>维护法律主体、税务、地址、所有权、品类、规模、合规和生命周期信息。</x:v>
      </x:c>
      <x:c r="K43" s="29" t="str">
        <x:v>主体ID稳定；变更留版本；供应商不可自行修改已核验关键字段。</x:v>
      </x:c>
      <x:c r="L43" s="29" t="str">
        <x:v>S2-002</x:v>
      </x:c>
      <x:c r="M43" s="31" t="str">
        <x:v>P0</x:v>
      </x:c>
      <x:c r="N43" s="31" t="str">
        <x:v>L</x:v>
      </x:c>
      <x:c r="O43" s="31" t="str">
        <x:v>开发Agent</x:v>
      </x:c>
      <x:c r="P43" s="31" t="str">
        <x:v>I04</x:v>
      </x:c>
      <x:c r="Q43" s="31" t="str">
        <x:v>S2-A 供应商主体</x:v>
      </x:c>
      <x:c r="R43" s="33"/>
      <x:c r="S43" s="33"/>
      <x:c r="T43" s="31" t="str">
        <x:v>未开始</x:v>
      </x:c>
      <x:c r="U43" s="29" t="str">
        <x:v>供应商主体档案前后端功能、数据库迁移、权限点、接口及测试用例</x:v>
      </x:c>
      <x:c r="V43" s="29" t="str">
        <x:v>主路径可运行；权限、状态、异常、版本和审计校验通过；构建无错误</x:v>
      </x:c>
      <x:c r="W43" s="31" t="str">
        <x:v>待执行</x:v>
      </x:c>
      <x:c r="X43" s="31" t="str">
        <x:v>待执行</x:v>
      </x:c>
      <x:c r="Y43" s="31" t="str">
        <x:v>待执行</x:v>
      </x:c>
      <x:c r="Z43" s="31" t="str">
        <x:v>待执行</x:v>
      </x:c>
      <x:c r="AA43" s="33"/>
      <x:c r="AB43" s="29" t="str"/>
    </x:row>
    <x:row r="44" ht="42" customHeight="1">
      <x:c r="A44" s="31" t="n">
        <x:v>39</x:v>
      </x:c>
      <x:c r="B44" s="31" t="str">
        <x:v>S2-005</x:v>
      </x:c>
      <x:c r="C44" s="31" t="str">
        <x:v>阶段2：供应商与供应源基础</x:v>
      </x:c>
      <x:c r="D44" s="31" t="str">
        <x:v>V1.0基线</x:v>
      </x:c>
      <x:c r="E44" s="31" t="str">
        <x:v>供应商管理</x:v>
      </x:c>
      <x:c r="F44" s="31" t="str">
        <x:v>站点与联系</x:v>
      </x:c>
      <x:c r="G44" s="31" t="str">
        <x:v>供应商站点联系人及敏感信息</x:v>
      </x:c>
      <x:c r="H44" s="31" t="str">
        <x:v>功能</x:v>
      </x:c>
      <x:c r="I44" s="29" t="str">
        <x:v>supplier/site</x:v>
      </x:c>
      <x:c r="J44" s="29" t="str">
        <x:v>维护供应商工厂/站点、交付/开票属性、联系人和银行信息审批。</x:v>
      </x:c>
      <x:c r="K44" s="29" t="str">
        <x:v>站点资格独立；银行信息加密、字段级授权和双人变更控制。</x:v>
      </x:c>
      <x:c r="L44" s="29" t="str">
        <x:v>S2-004,S1-013</x:v>
      </x:c>
      <x:c r="M44" s="31" t="str">
        <x:v>P0</x:v>
      </x:c>
      <x:c r="N44" s="31" t="str">
        <x:v>XL</x:v>
      </x:c>
      <x:c r="O44" s="31" t="str">
        <x:v>开发Agent</x:v>
      </x:c>
      <x:c r="P44" s="31" t="str">
        <x:v>I04</x:v>
      </x:c>
      <x:c r="Q44" s="31" t="str">
        <x:v>S2-A 供应商主体</x:v>
      </x:c>
      <x:c r="R44" s="33"/>
      <x:c r="S44" s="33"/>
      <x:c r="T44" s="31" t="str">
        <x:v>未开始</x:v>
      </x:c>
      <x:c r="U44" s="29" t="str">
        <x:v>供应商站点联系人及敏感信息前后端功能、数据库迁移、权限点、接口及测试用例</x:v>
      </x:c>
      <x:c r="V44" s="29" t="str">
        <x:v>主路径可运行；权限、状态、异常、版本和审计校验通过；构建无错误</x:v>
      </x:c>
      <x:c r="W44" s="31" t="str">
        <x:v>待执行</x:v>
      </x:c>
      <x:c r="X44" s="31" t="str">
        <x:v>待执行</x:v>
      </x:c>
      <x:c r="Y44" s="31" t="str">
        <x:v>待执行</x:v>
      </x:c>
      <x:c r="Z44" s="31" t="str">
        <x:v>待执行</x:v>
      </x:c>
      <x:c r="AA44" s="33"/>
      <x:c r="AB44" s="29" t="str"/>
    </x:row>
    <x:row r="45" ht="42" customHeight="1">
      <x:c r="A45" s="31" t="n">
        <x:v>40</x:v>
      </x:c>
      <x:c r="B45" s="31" t="str">
        <x:v>S2-006</x:v>
      </x:c>
      <x:c r="C45" s="31" t="str">
        <x:v>阶段2：供应商与供应源基础</x:v>
      </x:c>
      <x:c r="D45" s="31" t="str">
        <x:v>V1.0基线</x:v>
      </x:c>
      <x:c r="E45" s="31" t="str">
        <x:v>供应商管理</x:v>
      </x:c>
      <x:c r="F45" s="31" t="str">
        <x:v>供应商用户</x:v>
      </x:c>
      <x:c r="G45" s="31" t="str">
        <x:v>供应商用户与站点授权</x:v>
      </x:c>
      <x:c r="H45" s="31" t="str">
        <x:v>功能</x:v>
      </x:c>
      <x:c r="I45" s="29" t="str">
        <x:v>supplier/portal-auth</x:v>
      </x:c>
      <x:c r="J45" s="29" t="str">
        <x:v>创建/邀请供应商管理员和业务用户，绑定主体、站点与外部门户角色。</x:v>
      </x:c>
      <x:c r="K45" s="29" t="str">
        <x:v>后端从身份上下文强制supplier_id/site_scope；不信任前端传入范围。</x:v>
      </x:c>
      <x:c r="L45" s="29" t="str">
        <x:v>S2-005,S1-003,S1-006</x:v>
      </x:c>
      <x:c r="M45" s="31" t="str">
        <x:v>P0</x:v>
      </x:c>
      <x:c r="N45" s="31" t="str">
        <x:v>XL</x:v>
      </x:c>
      <x:c r="O45" s="31" t="str">
        <x:v>开发Agent</x:v>
      </x:c>
      <x:c r="P45" s="31" t="str">
        <x:v>I04</x:v>
      </x:c>
      <x:c r="Q45" s="31" t="str">
        <x:v>S2-B 供应商门户</x:v>
      </x:c>
      <x:c r="R45" s="33"/>
      <x:c r="S45" s="33"/>
      <x:c r="T45" s="31" t="str">
        <x:v>未开始</x:v>
      </x:c>
      <x:c r="U45" s="29" t="str">
        <x:v>供应商用户与站点授权前后端功能、数据库迁移、权限点、接口及测试用例</x:v>
      </x:c>
      <x:c r="V45" s="29" t="str">
        <x:v>主路径可运行；权限、状态、异常、版本和审计校验通过；构建无错误</x:v>
      </x:c>
      <x:c r="W45" s="31" t="str">
        <x:v>待执行</x:v>
      </x:c>
      <x:c r="X45" s="31" t="str">
        <x:v>待执行</x:v>
      </x:c>
      <x:c r="Y45" s="31" t="str">
        <x:v>待执行</x:v>
      </x:c>
      <x:c r="Z45" s="31" t="str">
        <x:v>待执行</x:v>
      </x:c>
      <x:c r="AA45" s="33"/>
      <x:c r="AB45" s="29" t="str"/>
    </x:row>
    <x:row r="46" ht="42" customHeight="1">
      <x:c r="A46" s="31" t="n">
        <x:v>41</x:v>
      </x:c>
      <x:c r="B46" s="31" t="str">
        <x:v>S2-007</x:v>
      </x:c>
      <x:c r="C46" s="31" t="str">
        <x:v>阶段2：供应商与供应源基础</x:v>
      </x:c>
      <x:c r="D46" s="31" t="str">
        <x:v>V1.0基线</x:v>
      </x:c>
      <x:c r="E46" s="31" t="str">
        <x:v>供应商管理</x:v>
      </x:c>
      <x:c r="F46" s="31" t="str">
        <x:v>资质证照</x:v>
      </x:c>
      <x:c r="G46" s="31" t="str">
        <x:v>资质证照与临期</x:v>
      </x:c>
      <x:c r="H46" s="31" t="str">
        <x:v>功能</x:v>
      </x:c>
      <x:c r="I46" s="29" t="str">
        <x:v>supplier/qualification</x:v>
      </x:c>
      <x:c r="J46" s="29" t="str">
        <x:v>维护证照类型、编号、范围、有效期、附件、核验、临期和失效。</x:v>
      </x:c>
      <x:c r="K46" s="29" t="str">
        <x:v>资质失效触发复审/限制评估；历史证照不可覆盖。</x:v>
      </x:c>
      <x:c r="L46" s="29" t="str">
        <x:v>S2-004,S1-012,S1-013</x:v>
      </x:c>
      <x:c r="M46" s="31" t="str">
        <x:v>P0</x:v>
      </x:c>
      <x:c r="N46" s="31" t="str">
        <x:v>L</x:v>
      </x:c>
      <x:c r="O46" s="31" t="str">
        <x:v>开发Agent</x:v>
      </x:c>
      <x:c r="P46" s="31" t="str">
        <x:v>I05</x:v>
      </x:c>
      <x:c r="Q46" s="31" t="str">
        <x:v>S2-A 供应商主体</x:v>
      </x:c>
      <x:c r="R46" s="33"/>
      <x:c r="S46" s="33"/>
      <x:c r="T46" s="31" t="str">
        <x:v>未开始</x:v>
      </x:c>
      <x:c r="U46" s="29" t="str">
        <x:v>资质证照与临期前后端功能、数据库迁移、权限点、接口及测试用例</x:v>
      </x:c>
      <x:c r="V46" s="29" t="str">
        <x:v>主路径可运行；权限、状态、异常、版本和审计校验通过；构建无错误</x:v>
      </x:c>
      <x:c r="W46" s="31" t="str">
        <x:v>待执行</x:v>
      </x:c>
      <x:c r="X46" s="31" t="str">
        <x:v>待执行</x:v>
      </x:c>
      <x:c r="Y46" s="31" t="str">
        <x:v>待执行</x:v>
      </x:c>
      <x:c r="Z46" s="31" t="str">
        <x:v>待执行</x:v>
      </x:c>
      <x:c r="AA46" s="33"/>
      <x:c r="AB46" s="29" t="str"/>
    </x:row>
    <x:row r="47" ht="42" customHeight="1">
      <x:c r="A47" s="31" t="n">
        <x:v>42</x:v>
      </x:c>
      <x:c r="B47" s="31" t="str">
        <x:v>S2-008</x:v>
      </x:c>
      <x:c r="C47" s="31" t="str">
        <x:v>阶段2：供应商与供应源基础</x:v>
      </x:c>
      <x:c r="D47" s="31" t="str">
        <x:v>V1.0基线</x:v>
      </x:c>
      <x:c r="E47" s="31" t="str">
        <x:v>供应商管理</x:v>
      </x:c>
      <x:c r="F47" s="31" t="str">
        <x:v>准入申请</x:v>
      </x:c>
      <x:c r="G47" s="31" t="str">
        <x:v>分层准入问卷与申请</x:v>
      </x:c>
      <x:c r="H47" s="31" t="str">
        <x:v>功能</x:v>
      </x:c>
      <x:c r="I47" s="29" t="str">
        <x:v>supplier/onboarding</x:v>
      </x:c>
      <x:c r="J47" s="29" t="str">
        <x:v>按品类和风险生成问卷、资料清单、责任人、补充材料和提交校验。</x:v>
      </x:c>
      <x:c r="K47" s="29" t="str">
        <x:v>低/中/高风险使用不同关口；资料不完整不得进入正式评审。</x:v>
      </x:c>
      <x:c r="L47" s="29" t="str">
        <x:v>S2-004,S2-007,S1-009</x:v>
      </x:c>
      <x:c r="M47" s="31" t="str">
        <x:v>P0</x:v>
      </x:c>
      <x:c r="N47" s="31" t="str">
        <x:v>L</x:v>
      </x:c>
      <x:c r="O47" s="31" t="str">
        <x:v>开发Agent</x:v>
      </x:c>
      <x:c r="P47" s="31" t="str">
        <x:v>I05</x:v>
      </x:c>
      <x:c r="Q47" s="31" t="str">
        <x:v>S2-C 准入治理</x:v>
      </x:c>
      <x:c r="R47" s="33"/>
      <x:c r="S47" s="33"/>
      <x:c r="T47" s="31" t="str">
        <x:v>未开始</x:v>
      </x:c>
      <x:c r="U47" s="29" t="str">
        <x:v>分层准入问卷与申请前后端功能、数据库迁移、权限点、接口及测试用例</x:v>
      </x:c>
      <x:c r="V47" s="29" t="str">
        <x:v>主路径可运行；权限、状态、异常、版本和审计校验通过；构建无错误</x:v>
      </x:c>
      <x:c r="W47" s="31" t="str">
        <x:v>待执行</x:v>
      </x:c>
      <x:c r="X47" s="31" t="str">
        <x:v>待执行</x:v>
      </x:c>
      <x:c r="Y47" s="31" t="str">
        <x:v>待执行</x:v>
      </x:c>
      <x:c r="Z47" s="31" t="str">
        <x:v>待执行</x:v>
      </x:c>
      <x:c r="AA47" s="33"/>
      <x:c r="AB47" s="29" t="str"/>
    </x:row>
    <x:row r="48" ht="42" customHeight="1">
      <x:c r="A48" s="31" t="n">
        <x:v>43</x:v>
      </x:c>
      <x:c r="B48" s="31" t="str">
        <x:v>S2-009</x:v>
      </x:c>
      <x:c r="C48" s="31" t="str">
        <x:v>阶段2：供应商与供应源基础</x:v>
      </x:c>
      <x:c r="D48" s="31" t="str">
        <x:v>V1.0基线</x:v>
      </x:c>
      <x:c r="E48" s="31" t="str">
        <x:v>供应商管理</x:v>
      </x:c>
      <x:c r="F48" s="31" t="str">
        <x:v>准入评审</x:v>
      </x:c>
      <x:c r="G48" s="31" t="str">
        <x:v>准入评估与现场审核</x:v>
      </x:c>
      <x:c r="H48" s="31" t="str">
        <x:v>功能</x:v>
      </x:c>
      <x:c r="I48" s="29" t="str">
        <x:v>supplier/onboarding</x:v>
      </x:c>
      <x:c r="J48" s="29" t="str">
        <x:v>支持职能评审、评分、一票否决、审核发现、整改和复核。</x:v>
      </x:c>
      <x:c r="K48" s="29" t="str">
        <x:v>评审结论、证据、例外和责任人可追溯。</x:v>
      </x:c>
      <x:c r="L48" s="29" t="str">
        <x:v>S2-008,S1-009,S1-010</x:v>
      </x:c>
      <x:c r="M48" s="31" t="str">
        <x:v>P0</x:v>
      </x:c>
      <x:c r="N48" s="31" t="str">
        <x:v>XL</x:v>
      </x:c>
      <x:c r="O48" s="31" t="str">
        <x:v>开发Agent</x:v>
      </x:c>
      <x:c r="P48" s="31" t="str">
        <x:v>I05</x:v>
      </x:c>
      <x:c r="Q48" s="31" t="str">
        <x:v>S2-C 准入治理</x:v>
      </x:c>
      <x:c r="R48" s="33"/>
      <x:c r="S48" s="33"/>
      <x:c r="T48" s="31" t="str">
        <x:v>未开始</x:v>
      </x:c>
      <x:c r="U48" s="29" t="str">
        <x:v>准入评估与现场审核前后端功能、数据库迁移、权限点、接口及测试用例</x:v>
      </x:c>
      <x:c r="V48" s="29" t="str">
        <x:v>主路径可运行；权限、状态、异常、版本和审计校验通过；构建无错误</x:v>
      </x:c>
      <x:c r="W48" s="31" t="str">
        <x:v>待执行</x:v>
      </x:c>
      <x:c r="X48" s="31" t="str">
        <x:v>待执行</x:v>
      </x:c>
      <x:c r="Y48" s="31" t="str">
        <x:v>待执行</x:v>
      </x:c>
      <x:c r="Z48" s="31" t="str">
        <x:v>待执行</x:v>
      </x:c>
      <x:c r="AA48" s="33"/>
      <x:c r="AB48" s="29" t="str"/>
    </x:row>
    <x:row r="49" ht="42" customHeight="1">
      <x:c r="A49" s="31" t="n">
        <x:v>44</x:v>
      </x:c>
      <x:c r="B49" s="31" t="str">
        <x:v>S2-010</x:v>
      </x:c>
      <x:c r="C49" s="31" t="str">
        <x:v>阶段2：供应商与供应源基础</x:v>
      </x:c>
      <x:c r="D49" s="31" t="str">
        <x:v>V1.0基线</x:v>
      </x:c>
      <x:c r="E49" s="31" t="str">
        <x:v>供应商管理</x:v>
      </x:c>
      <x:c r="F49" s="31" t="str">
        <x:v>准入审批</x:v>
      </x:c>
      <x:c r="G49" s="31" t="str">
        <x:v>准入结论与例外审批</x:v>
      </x:c>
      <x:c r="H49" s="31" t="str">
        <x:v>功能</x:v>
      </x:c>
      <x:c r="I49" s="29" t="str">
        <x:v>supplier/onboarding</x:v>
      </x:c>
      <x:c r="J49" s="29" t="str">
        <x:v>形成通过、条件通过、拒绝或补充整改结论，并更新主体准入状态。</x:v>
      </x:c>
      <x:c r="K49" s="29" t="str">
        <x:v>主体准入不自动生成正式供应源；条件通过包含范围和期限。</x:v>
      </x:c>
      <x:c r="L49" s="29" t="str">
        <x:v>S2-009,S1-008</x:v>
      </x:c>
      <x:c r="M49" s="31" t="str">
        <x:v>P0</x:v>
      </x:c>
      <x:c r="N49" s="31" t="str">
        <x:v>L</x:v>
      </x:c>
      <x:c r="O49" s="31" t="str">
        <x:v>开发Agent</x:v>
      </x:c>
      <x:c r="P49" s="31" t="str">
        <x:v>I05</x:v>
      </x:c>
      <x:c r="Q49" s="31" t="str">
        <x:v>S2-C 准入治理</x:v>
      </x:c>
      <x:c r="R49" s="33"/>
      <x:c r="S49" s="33"/>
      <x:c r="T49" s="31" t="str">
        <x:v>未开始</x:v>
      </x:c>
      <x:c r="U49" s="29" t="str">
        <x:v>准入结论与例外审批前后端功能、数据库迁移、权限点、接口及测试用例</x:v>
      </x:c>
      <x:c r="V49" s="29" t="str">
        <x:v>主路径可运行；权限、状态、异常、版本和审计校验通过；构建无错误</x:v>
      </x:c>
      <x:c r="W49" s="31" t="str">
        <x:v>待执行</x:v>
      </x:c>
      <x:c r="X49" s="31" t="str">
        <x:v>待执行</x:v>
      </x:c>
      <x:c r="Y49" s="31" t="str">
        <x:v>待执行</x:v>
      </x:c>
      <x:c r="Z49" s="31" t="str">
        <x:v>待执行</x:v>
      </x:c>
      <x:c r="AA49" s="33"/>
      <x:c r="AB49" s="29" t="str"/>
    </x:row>
    <x:row r="50" ht="42" customHeight="1">
      <x:c r="A50" s="31" t="n">
        <x:v>45</x:v>
      </x:c>
      <x:c r="B50" s="31" t="str">
        <x:v>S2-011</x:v>
      </x:c>
      <x:c r="C50" s="31" t="str">
        <x:v>阶段2：供应商与供应源基础</x:v>
      </x:c>
      <x:c r="D50" s="31" t="str">
        <x:v>V1.0基线</x:v>
      </x:c>
      <x:c r="E50" s="31" t="str">
        <x:v>供应商管理</x:v>
      </x:c>
      <x:c r="F50" s="31" t="str">
        <x:v>复审变更</x:v>
      </x:c>
      <x:c r="G50" s="31" t="str">
        <x:v>周期复审与关键变更</x:v>
      </x:c>
      <x:c r="H50" s="31" t="str">
        <x:v>功能</x:v>
      </x:c>
      <x:c r="I50" s="29" t="str">
        <x:v>supplier/lifecycle</x:v>
      </x:c>
      <x:c r="J50" s="29" t="str">
        <x:v>支持周期复审、主体/站点/联系人/银行等变更申请、影响分析和审批。</x:v>
      </x:c>
      <x:c r="K50" s="29" t="str">
        <x:v>关键变更评估资质、合同、供应源和开放业务影响。</x:v>
      </x:c>
      <x:c r="L50" s="29" t="str">
        <x:v>S2-010</x:v>
      </x:c>
      <x:c r="M50" s="31" t="str">
        <x:v>P1</x:v>
      </x:c>
      <x:c r="N50" s="31" t="str">
        <x:v>L</x:v>
      </x:c>
      <x:c r="O50" s="31" t="str">
        <x:v>开发Agent</x:v>
      </x:c>
      <x:c r="P50" s="31" t="str">
        <x:v>I05</x:v>
      </x:c>
      <x:c r="Q50" s="31" t="str">
        <x:v>S2-C 准入治理</x:v>
      </x:c>
      <x:c r="R50" s="33"/>
      <x:c r="S50" s="33"/>
      <x:c r="T50" s="31" t="str">
        <x:v>未开始</x:v>
      </x:c>
      <x:c r="U50" s="29" t="str">
        <x:v>周期复审与关键变更前后端功能、数据库迁移、权限点、接口及测试用例</x:v>
      </x:c>
      <x:c r="V50" s="29" t="str">
        <x:v>主路径可运行；权限、状态、异常、版本和审计校验通过；构建无错误</x:v>
      </x:c>
      <x:c r="W50" s="31" t="str">
        <x:v>待执行</x:v>
      </x:c>
      <x:c r="X50" s="31" t="str">
        <x:v>待执行</x:v>
      </x:c>
      <x:c r="Y50" s="31" t="str">
        <x:v>待执行</x:v>
      </x:c>
      <x:c r="Z50" s="31" t="str">
        <x:v>待执行</x:v>
      </x:c>
      <x:c r="AA50" s="33"/>
      <x:c r="AB50" s="29" t="str"/>
    </x:row>
    <x:row r="51" ht="42" customHeight="1">
      <x:c r="A51" s="31" t="n">
        <x:v>46</x:v>
      </x:c>
      <x:c r="B51" s="31" t="str">
        <x:v>S2-012</x:v>
      </x:c>
      <x:c r="C51" s="31" t="str">
        <x:v>阶段2：供应商与供应源基础</x:v>
      </x:c>
      <x:c r="D51" s="31" t="str">
        <x:v>V1.0基线</x:v>
      </x:c>
      <x:c r="E51" s="31" t="str">
        <x:v>供应商管理</x:v>
      </x:c>
      <x:c r="F51" s="31" t="str">
        <x:v>冻结退出</x:v>
      </x:c>
      <x:c r="G51" s="31" t="str">
        <x:v>限制冻结退出与开放业务处置</x:v>
      </x:c>
      <x:c r="H51" s="31" t="str">
        <x:v>功能</x:v>
      </x:c>
      <x:c r="I51" s="29" t="str">
        <x:v>supplier/lifecycle</x:v>
      </x:c>
      <x:c r="J51" s="29" t="str">
        <x:v>实现限制、冻结、退出、黑名单及开放PO/质量/结算事项清单。</x:v>
      </x:c>
      <x:c r="K51" s="29" t="str">
        <x:v>不修改历史事实；默认阻断新分配和新PO；开放业务逐项决策。</x:v>
      </x:c>
      <x:c r="L51" s="29" t="str">
        <x:v>S2-010,S1-009</x:v>
      </x:c>
      <x:c r="M51" s="31" t="str">
        <x:v>P0</x:v>
      </x:c>
      <x:c r="N51" s="31" t="str">
        <x:v>XL</x:v>
      </x:c>
      <x:c r="O51" s="31" t="str">
        <x:v>开发Agent</x:v>
      </x:c>
      <x:c r="P51" s="31" t="str">
        <x:v>I05</x:v>
      </x:c>
      <x:c r="Q51" s="31" t="str">
        <x:v>S2-C 准入治理</x:v>
      </x:c>
      <x:c r="R51" s="33"/>
      <x:c r="S51" s="33"/>
      <x:c r="T51" s="31" t="str">
        <x:v>未开始</x:v>
      </x:c>
      <x:c r="U51" s="29" t="str">
        <x:v>限制冻结退出与开放业务处置前后端功能、数据库迁移、权限点、接口及测试用例</x:v>
      </x:c>
      <x:c r="V51" s="29" t="str">
        <x:v>主路径可运行；权限、状态、异常、版本和审计校验通过；构建无错误</x:v>
      </x:c>
      <x:c r="W51" s="31" t="str">
        <x:v>待执行</x:v>
      </x:c>
      <x:c r="X51" s="31" t="str">
        <x:v>待执行</x:v>
      </x:c>
      <x:c r="Y51" s="31" t="str">
        <x:v>待执行</x:v>
      </x:c>
      <x:c r="Z51" s="31" t="str">
        <x:v>待执行</x:v>
      </x:c>
      <x:c r="AA51" s="33"/>
      <x:c r="AB51" s="29" t="str"/>
    </x:row>
    <x:row r="52" ht="42" customHeight="1">
      <x:c r="A52" s="31" t="n">
        <x:v>47</x:v>
      </x:c>
      <x:c r="B52" s="31" t="str">
        <x:v>S2-013</x:v>
      </x:c>
      <x:c r="C52" s="31" t="str">
        <x:v>阶段2：供应商与供应源基础</x:v>
      </x:c>
      <x:c r="D52" s="31" t="str">
        <x:v>V1.0基线</x:v>
      </x:c>
      <x:c r="E52" s="31" t="str">
        <x:v>供应商管理</x:v>
      </x:c>
      <x:c r="F52" s="31" t="str">
        <x:v>生命周期</x:v>
      </x:c>
      <x:c r="G52" s="31" t="str">
        <x:v>供应商状态机与全景时间线</x:v>
      </x:c>
      <x:c r="H52" s="31" t="str">
        <x:v>功能</x:v>
      </x:c>
      <x:c r="I52" s="29" t="str">
        <x:v>supplier/lifecycle</x:v>
      </x:c>
      <x:c r="J52" s="29" t="str">
        <x:v>统一显示注册、预审、准入、复审、变更、限制、冻结和退出历史。</x:v>
      </x:c>
      <x:c r="K52" s="29" t="str">
        <x:v>状态变更只经领域动作；时间线可追溯到审批、附件和操作者。</x:v>
      </x:c>
      <x:c r="L52" s="29" t="str">
        <x:v>S2-002:S2-012</x:v>
      </x:c>
      <x:c r="M52" s="31" t="str">
        <x:v>P1</x:v>
      </x:c>
      <x:c r="N52" s="31" t="str">
        <x:v>M</x:v>
      </x:c>
      <x:c r="O52" s="31" t="str">
        <x:v>开发Agent</x:v>
      </x:c>
      <x:c r="P52" s="31" t="str">
        <x:v>I05</x:v>
      </x:c>
      <x:c r="Q52" s="31" t="str">
        <x:v>S2-A 供应商主体</x:v>
      </x:c>
      <x:c r="R52" s="33"/>
      <x:c r="S52" s="33"/>
      <x:c r="T52" s="31" t="str">
        <x:v>未开始</x:v>
      </x:c>
      <x:c r="U52" s="29" t="str">
        <x:v>供应商状态机与全景时间线前后端功能、数据库迁移、权限点、接口及测试用例</x:v>
      </x:c>
      <x:c r="V52" s="29" t="str">
        <x:v>主路径可运行；权限、状态、异常、版本和审计校验通过；构建无错误</x:v>
      </x:c>
      <x:c r="W52" s="31" t="str">
        <x:v>待执行</x:v>
      </x:c>
      <x:c r="X52" s="31" t="str">
        <x:v>待执行</x:v>
      </x:c>
      <x:c r="Y52" s="31" t="str">
        <x:v>待执行</x:v>
      </x:c>
      <x:c r="Z52" s="31" t="str">
        <x:v>待执行</x:v>
      </x:c>
      <x:c r="AA52" s="33"/>
      <x:c r="AB52" s="29" t="str"/>
    </x:row>
    <x:row r="53" ht="42" customHeight="1">
      <x:c r="A53" s="31" t="n">
        <x:v>48</x:v>
      </x:c>
      <x:c r="B53" s="31" t="str">
        <x:v>S2-014</x:v>
      </x:c>
      <x:c r="C53" s="31" t="str">
        <x:v>阶段2：供应商与供应源基础</x:v>
      </x:c>
      <x:c r="D53" s="31" t="str">
        <x:v>V1.0基线</x:v>
      </x:c>
      <x:c r="E53" s="31" t="str">
        <x:v>供应商管理</x:v>
      </x:c>
      <x:c r="F53" s="31" t="str">
        <x:v>供应商门户</x:v>
      </x:c>
      <x:c r="G53" s="31" t="str">
        <x:v>供应商门户基础导航与资料中心</x:v>
      </x:c>
      <x:c r="H53" s="31" t="str">
        <x:v>功能</x:v>
      </x:c>
      <x:c r="I53" s="29" t="str">
        <x:v>supplier/portal</x:v>
      </x:c>
      <x:c r="J53" s="29" t="str">
        <x:v>建立供应商首页、我的任务、企业资料、用户、资质和消息入口。</x:v>
      </x:c>
      <x:c r="K53" s="29" t="str">
        <x:v>外部业务语言清晰；内部评论/评分/其他供应商信息绝不暴露。</x:v>
      </x:c>
      <x:c r="L53" s="29" t="str">
        <x:v>S2-006,S2-007,S1-011,S1-012</x:v>
      </x:c>
      <x:c r="M53" s="31" t="str">
        <x:v>P0</x:v>
      </x:c>
      <x:c r="N53" s="31" t="str">
        <x:v>L</x:v>
      </x:c>
      <x:c r="O53" s="31" t="str">
        <x:v>开发Agent</x:v>
      </x:c>
      <x:c r="P53" s="31" t="str">
        <x:v>I05</x:v>
      </x:c>
      <x:c r="Q53" s="31" t="str">
        <x:v>S2-B 供应商门户</x:v>
      </x:c>
      <x:c r="R53" s="33"/>
      <x:c r="S53" s="33"/>
      <x:c r="T53" s="31" t="str">
        <x:v>未开始</x:v>
      </x:c>
      <x:c r="U53" s="29" t="str">
        <x:v>供应商门户基础导航与资料中心前后端功能、数据库迁移、权限点、接口及测试用例</x:v>
      </x:c>
      <x:c r="V53" s="29" t="str">
        <x:v>主路径可运行；权限、状态、异常、版本和审计校验通过；构建无错误</x:v>
      </x:c>
      <x:c r="W53" s="31" t="str">
        <x:v>待执行</x:v>
      </x:c>
      <x:c r="X53" s="31" t="str">
        <x:v>待执行</x:v>
      </x:c>
      <x:c r="Y53" s="31" t="str">
        <x:v>待执行</x:v>
      </x:c>
      <x:c r="Z53" s="31" t="str">
        <x:v>待执行</x:v>
      </x:c>
      <x:c r="AA53" s="33"/>
      <x:c r="AB53" s="29" t="str"/>
    </x:row>
    <x:row r="54" ht="42" customHeight="1">
      <x:c r="A54" s="31" t="n">
        <x:v>49</x:v>
      </x:c>
      <x:c r="B54" s="31" t="str">
        <x:v>S2-015</x:v>
      </x:c>
      <x:c r="C54" s="31" t="str">
        <x:v>阶段2：供应商与供应源基础</x:v>
      </x:c>
      <x:c r="D54" s="31" t="str">
        <x:v>V1.0基线</x:v>
      </x:c>
      <x:c r="E54" s="31" t="str">
        <x:v>供应源管理</x:v>
      </x:c>
      <x:c r="F54" s="31" t="str">
        <x:v>核心模型</x:v>
      </x:c>
      <x:c r="G54" s="31" t="str">
        <x:v>批准供应源核心数据模型</x:v>
      </x:c>
      <x:c r="H54" s="31" t="str">
        <x:v>功能</x:v>
      </x:c>
      <x:c r="I54" s="29" t="str">
        <x:v>source/core</x:v>
      </x:c>
      <x:c r="J54" s="29" t="str">
        <x:v>建立供应商+站点+物料/品类+采购组织/工厂+有效期的供应源聚合。</x:v>
      </x:c>
      <x:c r="K54" s="29" t="str">
        <x:v>供应源是交易资格，不是供应商档案标签；内部ID和业务编号稳定。</x:v>
      </x:c>
      <x:c r="L54" s="29" t="str">
        <x:v>S2-004,S2-005,S1-016,S1-017</x:v>
      </x:c>
      <x:c r="M54" s="31" t="str">
        <x:v>P0</x:v>
      </x:c>
      <x:c r="N54" s="31" t="str">
        <x:v>XL</x:v>
      </x:c>
      <x:c r="O54" s="31" t="str">
        <x:v>开发Agent</x:v>
      </x:c>
      <x:c r="P54" s="31" t="str">
        <x:v>I06</x:v>
      </x:c>
      <x:c r="Q54" s="31" t="str">
        <x:v>S2-D 供应源</x:v>
      </x:c>
      <x:c r="R54" s="33"/>
      <x:c r="S54" s="33"/>
      <x:c r="T54" s="31" t="str">
        <x:v>未开始</x:v>
      </x:c>
      <x:c r="U54" s="29" t="str">
        <x:v>批准供应源核心数据模型前后端功能、数据库迁移、权限点、接口及测试用例</x:v>
      </x:c>
      <x:c r="V54" s="29" t="str">
        <x:v>主路径可运行；权限、状态、异常、版本和审计校验通过；构建无错误</x:v>
      </x:c>
      <x:c r="W54" s="31" t="str">
        <x:v>待执行</x:v>
      </x:c>
      <x:c r="X54" s="31" t="str">
        <x:v>待执行</x:v>
      </x:c>
      <x:c r="Y54" s="31" t="str">
        <x:v>待执行</x:v>
      </x:c>
      <x:c r="Z54" s="31" t="str">
        <x:v>待执行</x:v>
      </x:c>
      <x:c r="AA54" s="33"/>
      <x:c r="AB54" s="29" t="str"/>
    </x:row>
    <x:row r="55" ht="42" customHeight="1">
      <x:c r="A55" s="31" t="n">
        <x:v>50</x:v>
      </x:c>
      <x:c r="B55" s="31" t="str">
        <x:v>S2-016</x:v>
      </x:c>
      <x:c r="C55" s="31" t="str">
        <x:v>阶段2：供应商与供应源基础</x:v>
      </x:c>
      <x:c r="D55" s="31" t="str">
        <x:v>V1.0基线</x:v>
      </x:c>
      <x:c r="E55" s="31" t="str">
        <x:v>供应源管理</x:v>
      </x:c>
      <x:c r="F55" s="31" t="str">
        <x:v>状态治理</x:v>
      </x:c>
      <x:c r="G55" s="31" t="str">
        <x:v>候选试制条件正式供应源状态</x:v>
      </x:c>
      <x:c r="H55" s="31" t="str">
        <x:v>功能</x:v>
      </x:c>
      <x:c r="I55" s="29" t="str">
        <x:v>source/lifecycle</x:v>
      </x:c>
      <x:c r="J55" s="29" t="str">
        <x:v>实现候选、试制、条件、正式、限制、暂停、过期和终止及允许订单类型。</x:v>
      </x:c>
      <x:c r="K55" s="29" t="str">
        <x:v>正式生产默认仅使用正式源；受限路径受数量、期限和订单类型约束。</x:v>
      </x:c>
      <x:c r="L55" s="29" t="str">
        <x:v>S2-015,S0-004</x:v>
      </x:c>
      <x:c r="M55" s="31" t="str">
        <x:v>P0</x:v>
      </x:c>
      <x:c r="N55" s="31" t="str">
        <x:v>XL</x:v>
      </x:c>
      <x:c r="O55" s="31" t="str">
        <x:v>开发Agent</x:v>
      </x:c>
      <x:c r="P55" s="31" t="str">
        <x:v>I06</x:v>
      </x:c>
      <x:c r="Q55" s="31" t="str">
        <x:v>S2-D 供应源</x:v>
      </x:c>
      <x:c r="R55" s="33"/>
      <x:c r="S55" s="33"/>
      <x:c r="T55" s="31" t="str">
        <x:v>未开始</x:v>
      </x:c>
      <x:c r="U55" s="29" t="str">
        <x:v>候选试制条件正式供应源状态前后端功能、数据库迁移、权限点、接口及测试用例</x:v>
      </x:c>
      <x:c r="V55" s="29" t="str">
        <x:v>主路径可运行；权限、状态、异常、版本和审计校验通过；构建无错误</x:v>
      </x:c>
      <x:c r="W55" s="31" t="str">
        <x:v>待执行</x:v>
      </x:c>
      <x:c r="X55" s="31" t="str">
        <x:v>待执行</x:v>
      </x:c>
      <x:c r="Y55" s="31" t="str">
        <x:v>待执行</x:v>
      </x:c>
      <x:c r="Z55" s="31" t="str">
        <x:v>待执行</x:v>
      </x:c>
      <x:c r="AA55" s="33"/>
      <x:c r="AB55" s="29" t="str"/>
    </x:row>
    <x:row r="56" ht="42" customHeight="1">
      <x:c r="A56" s="31" t="n">
        <x:v>51</x:v>
      </x:c>
      <x:c r="B56" s="31" t="str">
        <x:v>S2-017</x:v>
      </x:c>
      <x:c r="C56" s="31" t="str">
        <x:v>阶段2：供应商与供应源基础</x:v>
      </x:c>
      <x:c r="D56" s="31" t="str">
        <x:v>V1.0基线</x:v>
      </x:c>
      <x:c r="E56" s="31" t="str">
        <x:v>供应源管理</x:v>
      </x:c>
      <x:c r="F56" s="31" t="str">
        <x:v>供货参数</x:v>
      </x:c>
      <x:c r="G56" s="31" t="str">
        <x:v>范围能力交期与包装参数</x:v>
      </x:c>
      <x:c r="H56" s="31" t="str">
        <x:v>功能</x:v>
      </x:c>
      <x:c r="I56" s="29" t="str">
        <x:v>source/capability</x:v>
      </x:c>
      <x:c r="J56" s="29" t="str">
        <x:v>维护适用物料/版本、工厂、地点、产能、交期、MOQ、MPQ、包装和限制。</x:v>
      </x:c>
      <x:c r="K56" s="29" t="str">
        <x:v>参数有有效期和单位；超能力/范围按策略阻断或审批。</x:v>
      </x:c>
      <x:c r="L56" s="29" t="str">
        <x:v>S2-015,S1-017</x:v>
      </x:c>
      <x:c r="M56" s="31" t="str">
        <x:v>P0</x:v>
      </x:c>
      <x:c r="N56" s="31" t="str">
        <x:v>L</x:v>
      </x:c>
      <x:c r="O56" s="31" t="str">
        <x:v>开发Agent</x:v>
      </x:c>
      <x:c r="P56" s="31" t="str">
        <x:v>I06</x:v>
      </x:c>
      <x:c r="Q56" s="31" t="str">
        <x:v>S2-D 供应源</x:v>
      </x:c>
      <x:c r="R56" s="33"/>
      <x:c r="S56" s="33"/>
      <x:c r="T56" s="31" t="str">
        <x:v>未开始</x:v>
      </x:c>
      <x:c r="U56" s="29" t="str">
        <x:v>范围能力交期与包装参数前后端功能、数据库迁移、权限点、接口及测试用例</x:v>
      </x:c>
      <x:c r="V56" s="29" t="str">
        <x:v>主路径可运行；权限、状态、异常、版本和审计校验通过；构建无错误</x:v>
      </x:c>
      <x:c r="W56" s="31" t="str">
        <x:v>待执行</x:v>
      </x:c>
      <x:c r="X56" s="31" t="str">
        <x:v>待执行</x:v>
      </x:c>
      <x:c r="Y56" s="31" t="str">
        <x:v>待执行</x:v>
      </x:c>
      <x:c r="Z56" s="31" t="str">
        <x:v>待执行</x:v>
      </x:c>
      <x:c r="AA56" s="33"/>
      <x:c r="AB56" s="29" t="str"/>
    </x:row>
    <x:row r="57" ht="42" customHeight="1">
      <x:c r="A57" s="31" t="n">
        <x:v>52</x:v>
      </x:c>
      <x:c r="B57" s="31" t="str">
        <x:v>S2-018</x:v>
      </x:c>
      <x:c r="C57" s="31" t="str">
        <x:v>阶段2：供应商与供应源基础</x:v>
      </x:c>
      <x:c r="D57" s="31" t="str">
        <x:v>V1.0基线</x:v>
      </x:c>
      <x:c r="E57" s="31" t="str">
        <x:v>供应源管理</x:v>
      </x:c>
      <x:c r="F57" s="31" t="str">
        <x:v>版本变更</x:v>
      </x:c>
      <x:c r="G57" s="31" t="str">
        <x:v>供应源版本变更与历史</x:v>
      </x:c>
      <x:c r="H57" s="31" t="str">
        <x:v>功能</x:v>
      </x:c>
      <x:c r="I57" s="29" t="str">
        <x:v>source/versioning</x:v>
      </x:c>
      <x:c r="J57" s="29" t="str">
        <x:v>实现新版本生效、未来生效、暂停/恢复、范围变化和完整历史。</x:v>
      </x:c>
      <x:c r="K57" s="29" t="str">
        <x:v>新版本不静默改写已发布分配/PO引用快照。</x:v>
      </x:c>
      <x:c r="L57" s="29" t="str">
        <x:v>S2-016,S2-017</x:v>
      </x:c>
      <x:c r="M57" s="31" t="str">
        <x:v>P0</x:v>
      </x:c>
      <x:c r="N57" s="31" t="str">
        <x:v>L</x:v>
      </x:c>
      <x:c r="O57" s="31" t="str">
        <x:v>开发Agent</x:v>
      </x:c>
      <x:c r="P57" s="31" t="str">
        <x:v>I06</x:v>
      </x:c>
      <x:c r="Q57" s="31" t="str">
        <x:v>S2-D 供应源</x:v>
      </x:c>
      <x:c r="R57" s="33"/>
      <x:c r="S57" s="33"/>
      <x:c r="T57" s="31" t="str">
        <x:v>未开始</x:v>
      </x:c>
      <x:c r="U57" s="29" t="str">
        <x:v>供应源版本变更与历史前后端功能、数据库迁移、权限点、接口及测试用例</x:v>
      </x:c>
      <x:c r="V57" s="29" t="str">
        <x:v>主路径可运行；权限、状态、异常、版本和审计校验通过；构建无错误</x:v>
      </x:c>
      <x:c r="W57" s="31" t="str">
        <x:v>待执行</x:v>
      </x:c>
      <x:c r="X57" s="31" t="str">
        <x:v>待执行</x:v>
      </x:c>
      <x:c r="Y57" s="31" t="str">
        <x:v>待执行</x:v>
      </x:c>
      <x:c r="Z57" s="31" t="str">
        <x:v>待执行</x:v>
      </x:c>
      <x:c r="AA57" s="33"/>
      <x:c r="AB57" s="29" t="str"/>
    </x:row>
    <x:row r="58" ht="42" customHeight="1">
      <x:c r="A58" s="31" t="n">
        <x:v>53</x:v>
      </x:c>
      <x:c r="B58" s="31" t="str">
        <x:v>S2-019</x:v>
      </x:c>
      <x:c r="C58" s="31" t="str">
        <x:v>阶段2：供应商与供应源基础</x:v>
      </x:c>
      <x:c r="D58" s="31" t="str">
        <x:v>V1.0基线</x:v>
      </x:c>
      <x:c r="E58" s="31" t="str">
        <x:v>供应源管理</x:v>
      </x:c>
      <x:c r="F58" s="31" t="str">
        <x:v>初始迁移</x:v>
      </x:c>
      <x:c r="G58" s="31" t="str">
        <x:v>既有供应源受控初始化</x:v>
      </x:c>
      <x:c r="H58" s="31" t="str">
        <x:v>实施</x:v>
      </x:c>
      <x:c r="I58" s="29" t="str">
        <x:v>migration/source</x:v>
      </x:c>
      <x:c r="J58" s="29" t="str">
        <x:v>提供清洗模板和审批流程，导入已有供应商物料关系及证据。</x:v>
      </x:c>
      <x:c r="K58" s="29" t="str">
        <x:v>无证据数据只能进入候选/待核验；禁止为迁移放宽正式源规则。</x:v>
      </x:c>
      <x:c r="L58" s="29" t="str">
        <x:v>S2-015:S2-018,D-010</x:v>
      </x:c>
      <x:c r="M58" s="31" t="str">
        <x:v>P1</x:v>
      </x:c>
      <x:c r="N58" s="31" t="str">
        <x:v>L</x:v>
      </x:c>
      <x:c r="O58" s="31" t="str">
        <x:v>开发Agent/业务</x:v>
      </x:c>
      <x:c r="P58" s="31" t="str">
        <x:v>I06</x:v>
      </x:c>
      <x:c r="Q58" s="31" t="str">
        <x:v>S2-D 供应源</x:v>
      </x:c>
      <x:c r="R58" s="33"/>
      <x:c r="S58" s="33"/>
      <x:c r="T58" s="31" t="str">
        <x:v>未开始</x:v>
      </x:c>
      <x:c r="U58" s="29" t="str">
        <x:v>既有供应源受控初始化实施包、记录与回退方案</x:v>
      </x:c>
      <x:c r="V58" s="29" t="str">
        <x:v>演练或执行成功；数据、服务、监控和回退均有证据</x:v>
      </x:c>
      <x:c r="W58" s="31" t="str">
        <x:v>待执行</x:v>
      </x:c>
      <x:c r="X58" s="31" t="str">
        <x:v>待执行</x:v>
      </x:c>
      <x:c r="Y58" s="31" t="str">
        <x:v>待执行</x:v>
      </x:c>
      <x:c r="Z58" s="31" t="str">
        <x:v>待执行</x:v>
      </x:c>
      <x:c r="AA58" s="33"/>
      <x:c r="AB58" s="29" t="str"/>
    </x:row>
    <x:row r="59" ht="42" customHeight="1">
      <x:c r="A59" s="31" t="n">
        <x:v>54</x:v>
      </x:c>
      <x:c r="B59" s="31" t="str">
        <x:v>S2-020</x:v>
      </x:c>
      <x:c r="C59" s="31" t="str">
        <x:v>阶段2：供应商与供应源基础</x:v>
      </x:c>
      <x:c r="D59" s="31" t="str">
        <x:v>V1.0基线</x:v>
      </x:c>
      <x:c r="E59" s="31" t="str">
        <x:v>端到端验收</x:v>
      </x:c>
      <x:c r="F59" s="31" t="str">
        <x:v>供应商准入</x:v>
      </x:c>
      <x:c r="G59" s="31" t="str">
        <x:v>注册到受控供应源场景</x:v>
      </x:c>
      <x:c r="H59" s="31" t="str">
        <x:v>测试</x:v>
      </x:c>
      <x:c r="I59" s="29" t="str">
        <x:v>tests/e2e-supplier</x:v>
      </x:c>
      <x:c r="J59" s="29" t="str">
        <x:v>验证新供应商注册、预审、准入、站点、用户、资质和候选/条件供应源。</x:v>
      </x:c>
      <x:c r="K59" s="29" t="str">
        <x:v>包含拒绝、条件通过、资质过期、冻结和越权访问负向用例。</x:v>
      </x:c>
      <x:c r="L59" s="29" t="str">
        <x:v>S2-001:S2-019</x:v>
      </x:c>
      <x:c r="M59" s="31" t="str">
        <x:v>P0</x:v>
      </x:c>
      <x:c r="N59" s="31" t="str">
        <x:v>L</x:v>
      </x:c>
      <x:c r="O59" s="31" t="str">
        <x:v>Codex复核/用户验收</x:v>
      </x:c>
      <x:c r="P59" s="31" t="str">
        <x:v>I06</x:v>
      </x:c>
      <x:c r="Q59" s="31" t="str">
        <x:v>S2-E 阶段验收</x:v>
      </x:c>
      <x:c r="R59" s="33"/>
      <x:c r="S59" s="33"/>
      <x:c r="T59" s="31" t="str">
        <x:v>未开始</x:v>
      </x:c>
      <x:c r="U59" s="29" t="str">
        <x:v>注册到受控供应源场景测试脚本、缺陷清单与报告</x:v>
      </x:c>
      <x:c r="V59" s="29" t="str">
        <x:v>正向、负向、越权和异常场景通过；P0/P1缺陷关闭</x:v>
      </x:c>
      <x:c r="W59" s="31" t="str">
        <x:v>待执行</x:v>
      </x:c>
      <x:c r="X59" s="31" t="str">
        <x:v>待执行</x:v>
      </x:c>
      <x:c r="Y59" s="31" t="str">
        <x:v>待执行</x:v>
      </x:c>
      <x:c r="Z59" s="31" t="str">
        <x:v>不适用</x:v>
      </x:c>
      <x:c r="AA59" s="33"/>
      <x:c r="AB59" s="29" t="str"/>
    </x:row>
    <x:row r="60" ht="42" customHeight="1">
      <x:c r="A60" s="31" t="n">
        <x:v>55</x:v>
      </x:c>
      <x:c r="B60" s="31" t="str">
        <x:v>S3-001</x:v>
      </x:c>
      <x:c r="C60" s="31" t="str">
        <x:v>阶段3：寻源、合同与转化</x:v>
      </x:c>
      <x:c r="D60" s="31" t="str">
        <x:v>V1.0基线</x:v>
      </x:c>
      <x:c r="E60" s="31" t="str">
        <x:v>战略寻源</x:v>
      </x:c>
      <x:c r="F60" s="31" t="str">
        <x:v>寻源需求</x:v>
      </x:c>
      <x:c r="G60" s="31" t="str">
        <x:v>多入口寻源需求</x:v>
      </x:c>
      <x:c r="H60" s="31" t="str">
        <x:v>功能</x:v>
      </x:c>
      <x:c r="I60" s="29" t="str">
        <x:v>sourcing/request</x:v>
      </x:c>
      <x:c r="J60" s="29" t="str">
        <x:v>支持NPI、新物料、第二供应源、年度议价、风险替代、产能建设和采购缺口触发。</x:v>
      </x:c>
      <x:c r="K60" s="29" t="str">
        <x:v>寻源不是每笔采购需求必经；触发依据和业务目标必须记录。</x:v>
      </x:c>
      <x:c r="L60" s="29" t="str">
        <x:v>阶段2完成</x:v>
      </x:c>
      <x:c r="M60" s="31" t="str">
        <x:v>P0</x:v>
      </x:c>
      <x:c r="N60" s="31" t="str">
        <x:v>L</x:v>
      </x:c>
      <x:c r="O60" s="31" t="str">
        <x:v>开发Agent</x:v>
      </x:c>
      <x:c r="P60" s="31" t="str">
        <x:v>I07</x:v>
      </x:c>
      <x:c r="Q60" s="31" t="str">
        <x:v>S3-A 寻源</x:v>
      </x:c>
      <x:c r="R60" s="33"/>
      <x:c r="S60" s="33"/>
      <x:c r="T60" s="31" t="str">
        <x:v>未开始</x:v>
      </x:c>
      <x:c r="U60" s="29" t="str">
        <x:v>多入口寻源需求前后端功能、数据库迁移、权限点、接口及测试用例</x:v>
      </x:c>
      <x:c r="V60" s="29" t="str">
        <x:v>主路径可运行；权限、状态、异常、版本和审计校验通过；构建无错误</x:v>
      </x:c>
      <x:c r="W60" s="31" t="str">
        <x:v>待执行</x:v>
      </x:c>
      <x:c r="X60" s="31" t="str">
        <x:v>待执行</x:v>
      </x:c>
      <x:c r="Y60" s="31" t="str">
        <x:v>待执行</x:v>
      </x:c>
      <x:c r="Z60" s="31" t="str">
        <x:v>待执行</x:v>
      </x:c>
      <x:c r="AA60" s="33"/>
      <x:c r="AB60" s="29" t="str"/>
    </x:row>
    <x:row r="61" ht="42" customHeight="1">
      <x:c r="A61" s="31" t="n">
        <x:v>56</x:v>
      </x:c>
      <x:c r="B61" s="31" t="str">
        <x:v>S3-002</x:v>
      </x:c>
      <x:c r="C61" s="31" t="str">
        <x:v>阶段3：寻源、合同与转化</x:v>
      </x:c>
      <x:c r="D61" s="31" t="str">
        <x:v>V1.0基线</x:v>
      </x:c>
      <x:c r="E61" s="31" t="str">
        <x:v>战略寻源</x:v>
      </x:c>
      <x:c r="F61" s="31" t="str">
        <x:v>项目管理</x:v>
      </x:c>
      <x:c r="G61" s="31" t="str">
        <x:v>寻源项目与策略</x:v>
      </x:c>
      <x:c r="H61" s="31" t="str">
        <x:v>功能</x:v>
      </x:c>
      <x:c r="I61" s="29" t="str">
        <x:v>sourcing/project</x:v>
      </x:c>
      <x:c r="J61" s="29" t="str">
        <x:v>维护范围、物料包、数量预测、方式、时间表、团队、审批和项目状态。</x:v>
      </x:c>
      <x:c r="K61" s="29" t="str">
        <x:v>项目发布前范围、评委、参与资格和保密策略完整。</x:v>
      </x:c>
      <x:c r="L61" s="29" t="str">
        <x:v>S3-001,S1-009</x:v>
      </x:c>
      <x:c r="M61" s="31" t="str">
        <x:v>P0</x:v>
      </x:c>
      <x:c r="N61" s="31" t="str">
        <x:v>L</x:v>
      </x:c>
      <x:c r="O61" s="31" t="str">
        <x:v>开发Agent</x:v>
      </x:c>
      <x:c r="P61" s="31" t="str">
        <x:v>I07</x:v>
      </x:c>
      <x:c r="Q61" s="31" t="str">
        <x:v>S3-A 寻源</x:v>
      </x:c>
      <x:c r="R61" s="33"/>
      <x:c r="S61" s="33"/>
      <x:c r="T61" s="31" t="str">
        <x:v>未开始</x:v>
      </x:c>
      <x:c r="U61" s="29" t="str">
        <x:v>寻源项目与策略前后端功能、数据库迁移、权限点、接口及测试用例</x:v>
      </x:c>
      <x:c r="V61" s="29" t="str">
        <x:v>主路径可运行；权限、状态、异常、版本和审计校验通过；构建无错误</x:v>
      </x:c>
      <x:c r="W61" s="31" t="str">
        <x:v>待执行</x:v>
      </x:c>
      <x:c r="X61" s="31" t="str">
        <x:v>待执行</x:v>
      </x:c>
      <x:c r="Y61" s="31" t="str">
        <x:v>待执行</x:v>
      </x:c>
      <x:c r="Z61" s="31" t="str">
        <x:v>待执行</x:v>
      </x:c>
      <x:c r="AA61" s="33"/>
      <x:c r="AB61" s="29" t="str"/>
    </x:row>
    <x:row r="62" ht="42" customHeight="1">
      <x:c r="A62" s="31" t="n">
        <x:v>57</x:v>
      </x:c>
      <x:c r="B62" s="31" t="str">
        <x:v>S3-003</x:v>
      </x:c>
      <x:c r="C62" s="31" t="str">
        <x:v>阶段3：寻源、合同与转化</x:v>
      </x:c>
      <x:c r="D62" s="31" t="str">
        <x:v>V1.0基线</x:v>
      </x:c>
      <x:c r="E62" s="31" t="str">
        <x:v>战略寻源</x:v>
      </x:c>
      <x:c r="F62" s="31" t="str">
        <x:v>邀请资格</x:v>
      </x:c>
      <x:c r="G62" s="31" t="str">
        <x:v>供应商邀请与资格关口G1</x:v>
      </x:c>
      <x:c r="H62" s="31" t="str">
        <x:v>功能</x:v>
      </x:c>
      <x:c r="I62" s="29" t="str">
        <x:v>sourcing/invitation</x:v>
      </x:c>
      <x:c r="J62" s="29" t="str">
        <x:v>按品类、预审、黑名单、NDA和例外审批筛选/邀请供应商。</x:v>
      </x:c>
      <x:c r="K62" s="29" t="str">
        <x:v>未满足最低资格不得收到正式RFQ；例外有范围和有效期。</x:v>
      </x:c>
      <x:c r="L62" s="29" t="str">
        <x:v>S3-002,S2-003</x:v>
      </x:c>
      <x:c r="M62" s="31" t="str">
        <x:v>P0</x:v>
      </x:c>
      <x:c r="N62" s="31" t="str">
        <x:v>L</x:v>
      </x:c>
      <x:c r="O62" s="31" t="str">
        <x:v>开发Agent</x:v>
      </x:c>
      <x:c r="P62" s="31" t="str">
        <x:v>I07</x:v>
      </x:c>
      <x:c r="Q62" s="31" t="str">
        <x:v>S3-A 寻源</x:v>
      </x:c>
      <x:c r="R62" s="33"/>
      <x:c r="S62" s="33"/>
      <x:c r="T62" s="31" t="str">
        <x:v>未开始</x:v>
      </x:c>
      <x:c r="U62" s="29" t="str">
        <x:v>供应商邀请与资格关口G1前后端功能、数据库迁移、权限点、接口及测试用例</x:v>
      </x:c>
      <x:c r="V62" s="29" t="str">
        <x:v>主路径可运行；权限、状态、异常、版本和审计校验通过；构建无错误</x:v>
      </x:c>
      <x:c r="W62" s="31" t="str">
        <x:v>待执行</x:v>
      </x:c>
      <x:c r="X62" s="31" t="str">
        <x:v>待执行</x:v>
      </x:c>
      <x:c r="Y62" s="31" t="str">
        <x:v>待执行</x:v>
      </x:c>
      <x:c r="Z62" s="31" t="str">
        <x:v>待执行</x:v>
      </x:c>
      <x:c r="AA62" s="33"/>
      <x:c r="AB62" s="29" t="str"/>
    </x:row>
    <x:row r="63" ht="42" customHeight="1">
      <x:c r="A63" s="31" t="n">
        <x:v>58</x:v>
      </x:c>
      <x:c r="B63" s="31" t="str">
        <x:v>S3-004</x:v>
      </x:c>
      <x:c r="C63" s="31" t="str">
        <x:v>阶段3：寻源、合同与转化</x:v>
      </x:c>
      <x:c r="D63" s="31" t="str">
        <x:v>V1.0基线</x:v>
      </x:c>
      <x:c r="E63" s="31" t="str">
        <x:v>战略寻源</x:v>
      </x:c>
      <x:c r="F63" s="31" t="str">
        <x:v>RFQ</x:v>
      </x:c>
      <x:c r="G63" s="31" t="str">
        <x:v>RFQ物料包与商务条款</x:v>
      </x:c>
      <x:c r="H63" s="31" t="str">
        <x:v>功能</x:v>
      </x:c>
      <x:c r="I63" s="29" t="str">
        <x:v>sourcing/rfq</x:v>
      </x:c>
      <x:c r="J63" s="29" t="str">
        <x:v>定义RFQ行、技术资料、报价模板、币种税费、阶梯、MOQ、交期和附件。</x:v>
      </x:c>
      <x:c r="K63" s="29" t="str">
        <x:v>发布版本冻结；修改形成新版本并通知所有受影响供应商。</x:v>
      </x:c>
      <x:c r="L63" s="29" t="str">
        <x:v>S3-002,S3-003,S1-013</x:v>
      </x:c>
      <x:c r="M63" s="31" t="str">
        <x:v>P0</x:v>
      </x:c>
      <x:c r="N63" s="31" t="str">
        <x:v>XL</x:v>
      </x:c>
      <x:c r="O63" s="31" t="str">
        <x:v>开发Agent</x:v>
      </x:c>
      <x:c r="P63" s="31" t="str">
        <x:v>I07</x:v>
      </x:c>
      <x:c r="Q63" s="31" t="str">
        <x:v>S3-A 寻源</x:v>
      </x:c>
      <x:c r="R63" s="33"/>
      <x:c r="S63" s="33"/>
      <x:c r="T63" s="31" t="str">
        <x:v>未开始</x:v>
      </x:c>
      <x:c r="U63" s="29" t="str">
        <x:v>RFQ物料包与商务条款前后端功能、数据库迁移、权限点、接口及测试用例</x:v>
      </x:c>
      <x:c r="V63" s="29" t="str">
        <x:v>主路径可运行；权限、状态、异常、版本和审计校验通过；构建无错误</x:v>
      </x:c>
      <x:c r="W63" s="31" t="str">
        <x:v>待执行</x:v>
      </x:c>
      <x:c r="X63" s="31" t="str">
        <x:v>待执行</x:v>
      </x:c>
      <x:c r="Y63" s="31" t="str">
        <x:v>待执行</x:v>
      </x:c>
      <x:c r="Z63" s="31" t="str">
        <x:v>待执行</x:v>
      </x:c>
      <x:c r="AA63" s="33"/>
      <x:c r="AB63" s="29" t="str"/>
    </x:row>
    <x:row r="64" ht="42" customHeight="1">
      <x:c r="A64" s="31" t="n">
        <x:v>59</x:v>
      </x:c>
      <x:c r="B64" s="31" t="str">
        <x:v>S3-005</x:v>
      </x:c>
      <x:c r="C64" s="31" t="str">
        <x:v>阶段3：寻源、合同与转化</x:v>
      </x:c>
      <x:c r="D64" s="31" t="str">
        <x:v>V1.0基线</x:v>
      </x:c>
      <x:c r="E64" s="31" t="str">
        <x:v>战略寻源</x:v>
      </x:c>
      <x:c r="F64" s="31" t="str">
        <x:v>供应商报价</x:v>
      </x:c>
      <x:c r="G64" s="31" t="str">
        <x:v>多轮报价与版本</x:v>
      </x:c>
      <x:c r="H64" s="31" t="str">
        <x:v>功能</x:v>
      </x:c>
      <x:c r="I64" s="29" t="str">
        <x:v>sourcing/quotation</x:v>
      </x:c>
      <x:c r="J64" s="29" t="str">
        <x:v>供应商按RFQ提交价格、成本、交期、产能、偏离和附件，支持多轮报价。</x:v>
      </x:c>
      <x:c r="K64" s="29" t="str">
        <x:v>截止/开标前保密；撤回、重报和每轮版本完整留痕。</x:v>
      </x:c>
      <x:c r="L64" s="29" t="str">
        <x:v>S3-004,S2-014</x:v>
      </x:c>
      <x:c r="M64" s="31" t="str">
        <x:v>P0</x:v>
      </x:c>
      <x:c r="N64" s="31" t="str">
        <x:v>XL</x:v>
      </x:c>
      <x:c r="O64" s="31" t="str">
        <x:v>开发Agent</x:v>
      </x:c>
      <x:c r="P64" s="31" t="str">
        <x:v>I07</x:v>
      </x:c>
      <x:c r="Q64" s="31" t="str">
        <x:v>S3-B 报价评审</x:v>
      </x:c>
      <x:c r="R64" s="33"/>
      <x:c r="S64" s="33"/>
      <x:c r="T64" s="31" t="str">
        <x:v>未开始</x:v>
      </x:c>
      <x:c r="U64" s="29" t="str">
        <x:v>多轮报价与版本前后端功能、数据库迁移、权限点、接口及测试用例</x:v>
      </x:c>
      <x:c r="V64" s="29" t="str">
        <x:v>主路径可运行；权限、状态、异常、版本和审计校验通过；构建无错误</x:v>
      </x:c>
      <x:c r="W64" s="31" t="str">
        <x:v>待执行</x:v>
      </x:c>
      <x:c r="X64" s="31" t="str">
        <x:v>待执行</x:v>
      </x:c>
      <x:c r="Y64" s="31" t="str">
        <x:v>待执行</x:v>
      </x:c>
      <x:c r="Z64" s="31" t="str">
        <x:v>待执行</x:v>
      </x:c>
      <x:c r="AA64" s="33"/>
      <x:c r="AB64" s="29" t="str"/>
    </x:row>
    <x:row r="65" ht="42" customHeight="1">
      <x:c r="A65" s="31" t="n">
        <x:v>60</x:v>
      </x:c>
      <x:c r="B65" s="31" t="str">
        <x:v>S3-006</x:v>
      </x:c>
      <x:c r="C65" s="31" t="str">
        <x:v>阶段3：寻源、合同与转化</x:v>
      </x:c>
      <x:c r="D65" s="31" t="str">
        <x:v>V1.0基线</x:v>
      </x:c>
      <x:c r="E65" s="31" t="str">
        <x:v>战略寻源</x:v>
      </x:c>
      <x:c r="F65" s="31" t="str">
        <x:v>澄清答疑</x:v>
      </x:c>
      <x:c r="G65" s="31" t="str">
        <x:v>结构化澄清与答疑</x:v>
      </x:c>
      <x:c r="H65" s="31" t="str">
        <x:v>功能</x:v>
      </x:c>
      <x:c r="I65" s="29" t="str">
        <x:v>sourcing/clarification</x:v>
      </x:c>
      <x:c r="J65" s="29" t="str">
        <x:v>支持采购方与供应商围绕技术/商务问题澄清、补件、截止时间和发布范围。</x:v>
      </x:c>
      <x:c r="K65" s="29" t="str">
        <x:v>内部评论与外部问答隔离；影响条件的澄清纳入报价版本。</x:v>
      </x:c>
      <x:c r="L65" s="29" t="str">
        <x:v>S3-005,S1-012</x:v>
      </x:c>
      <x:c r="M65" s="31" t="str">
        <x:v>P1</x:v>
      </x:c>
      <x:c r="N65" s="31" t="str">
        <x:v>M</x:v>
      </x:c>
      <x:c r="O65" s="31" t="str">
        <x:v>开发Agent</x:v>
      </x:c>
      <x:c r="P65" s="31" t="str">
        <x:v>I07</x:v>
      </x:c>
      <x:c r="Q65" s="31" t="str">
        <x:v>S3-B 报价评审</x:v>
      </x:c>
      <x:c r="R65" s="33"/>
      <x:c r="S65" s="33"/>
      <x:c r="T65" s="31" t="str">
        <x:v>未开始</x:v>
      </x:c>
      <x:c r="U65" s="29" t="str">
        <x:v>结构化澄清与答疑前后端功能、数据库迁移、权限点、接口及测试用例</x:v>
      </x:c>
      <x:c r="V65" s="29" t="str">
        <x:v>主路径可运行；权限、状态、异常、版本和审计校验通过；构建无错误</x:v>
      </x:c>
      <x:c r="W65" s="31" t="str">
        <x:v>待执行</x:v>
      </x:c>
      <x:c r="X65" s="31" t="str">
        <x:v>待执行</x:v>
      </x:c>
      <x:c r="Y65" s="31" t="str">
        <x:v>待执行</x:v>
      </x:c>
      <x:c r="Z65" s="31" t="str">
        <x:v>待执行</x:v>
      </x:c>
      <x:c r="AA65" s="33"/>
      <x:c r="AB65" s="29" t="str"/>
    </x:row>
    <x:row r="66" ht="42" customHeight="1">
      <x:c r="A66" s="31" t="n">
        <x:v>61</x:v>
      </x:c>
      <x:c r="B66" s="31" t="str">
        <x:v>S3-007</x:v>
      </x:c>
      <x:c r="C66" s="31" t="str">
        <x:v>阶段3：寻源、合同与转化</x:v>
      </x:c>
      <x:c r="D66" s="31" t="str">
        <x:v>V1.0基线</x:v>
      </x:c>
      <x:c r="E66" s="31" t="str">
        <x:v>战略寻源</x:v>
      </x:c>
      <x:c r="F66" s="31" t="str">
        <x:v>评审模型</x:v>
      </x:c>
      <x:c r="G66" s="31" t="str">
        <x:v>技术商务质量评审模板</x:v>
      </x:c>
      <x:c r="H66" s="31" t="str">
        <x:v>功能</x:v>
      </x:c>
      <x:c r="I66" s="29" t="str">
        <x:v>sourcing/evaluation</x:v>
      </x:c>
      <x:c r="J66" s="29" t="str">
        <x:v>配置客观/主观项、权重、资格门槛、一票否决、评委和分工。</x:v>
      </x:c>
      <x:c r="K66" s="29" t="str">
        <x:v>模型在项目发布后版本冻结；评分调整有原因和审计。</x:v>
      </x:c>
      <x:c r="L66" s="29" t="str">
        <x:v>S3-002,S1-015</x:v>
      </x:c>
      <x:c r="M66" s="31" t="str">
        <x:v>P0</x:v>
      </x:c>
      <x:c r="N66" s="31" t="str">
        <x:v>L</x:v>
      </x:c>
      <x:c r="O66" s="31" t="str">
        <x:v>开发Agent</x:v>
      </x:c>
      <x:c r="P66" s="31" t="str">
        <x:v>I08</x:v>
      </x:c>
      <x:c r="Q66" s="31" t="str">
        <x:v>S3-B 报价评审</x:v>
      </x:c>
      <x:c r="R66" s="33"/>
      <x:c r="S66" s="33"/>
      <x:c r="T66" s="31" t="str">
        <x:v>未开始</x:v>
      </x:c>
      <x:c r="U66" s="29" t="str">
        <x:v>技术商务质量评审模板前后端功能、数据库迁移、权限点、接口及测试用例</x:v>
      </x:c>
      <x:c r="V66" s="29" t="str">
        <x:v>主路径可运行；权限、状态、异常、版本和审计校验通过；构建无错误</x:v>
      </x:c>
      <x:c r="W66" s="31" t="str">
        <x:v>待执行</x:v>
      </x:c>
      <x:c r="X66" s="31" t="str">
        <x:v>待执行</x:v>
      </x:c>
      <x:c r="Y66" s="31" t="str">
        <x:v>待执行</x:v>
      </x:c>
      <x:c r="Z66" s="31" t="str">
        <x:v>待执行</x:v>
      </x:c>
      <x:c r="AA66" s="33"/>
      <x:c r="AB66" s="29" t="str"/>
    </x:row>
    <x:row r="67" ht="42" customHeight="1">
      <x:c r="A67" s="31" t="n">
        <x:v>62</x:v>
      </x:c>
      <x:c r="B67" s="31" t="str">
        <x:v>S3-008</x:v>
      </x:c>
      <x:c r="C67" s="31" t="str">
        <x:v>阶段3：寻源、合同与转化</x:v>
      </x:c>
      <x:c r="D67" s="31" t="str">
        <x:v>V1.0基线</x:v>
      </x:c>
      <x:c r="E67" s="31" t="str">
        <x:v>战略寻源</x:v>
      </x:c>
      <x:c r="F67" s="31" t="str">
        <x:v>开标评审</x:v>
      </x:c>
      <x:c r="G67" s="31" t="str">
        <x:v>密封开标评委回避与综合评审</x:v>
      </x:c>
      <x:c r="H67" s="31" t="str">
        <x:v>功能</x:v>
      </x:c>
      <x:c r="I67" s="29" t="str">
        <x:v>sourcing/evaluation</x:v>
      </x:c>
      <x:c r="J67" s="29" t="str">
        <x:v>实现分阶段开标、利益冲突声明、独立评分、汇总、偏差和异常检查。</x:v>
      </x:c>
      <x:c r="K67" s="29" t="str">
        <x:v>未到开标条件不得查看；非最低价中标和重大偏离需说明。</x:v>
      </x:c>
      <x:c r="L67" s="29" t="str">
        <x:v>S3-005,S3-007,S1-008</x:v>
      </x:c>
      <x:c r="M67" s="31" t="str">
        <x:v>P0</x:v>
      </x:c>
      <x:c r="N67" s="31" t="str">
        <x:v>XL</x:v>
      </x:c>
      <x:c r="O67" s="31" t="str">
        <x:v>开发Agent</x:v>
      </x:c>
      <x:c r="P67" s="31" t="str">
        <x:v>I08</x:v>
      </x:c>
      <x:c r="Q67" s="31" t="str">
        <x:v>S3-B 报价评审</x:v>
      </x:c>
      <x:c r="R67" s="33"/>
      <x:c r="S67" s="33"/>
      <x:c r="T67" s="31" t="str">
        <x:v>未开始</x:v>
      </x:c>
      <x:c r="U67" s="29" t="str">
        <x:v>密封开标评委回避与综合评审前后端功能、数据库迁移、权限点、接口及测试用例</x:v>
      </x:c>
      <x:c r="V67" s="29" t="str">
        <x:v>主路径可运行；权限、状态、异常、版本和审计校验通过；构建无错误</x:v>
      </x:c>
      <x:c r="W67" s="31" t="str">
        <x:v>待执行</x:v>
      </x:c>
      <x:c r="X67" s="31" t="str">
        <x:v>待执行</x:v>
      </x:c>
      <x:c r="Y67" s="31" t="str">
        <x:v>待执行</x:v>
      </x:c>
      <x:c r="Z67" s="31" t="str">
        <x:v>待执行</x:v>
      </x:c>
      <x:c r="AA67" s="33"/>
      <x:c r="AB67" s="29" t="str"/>
    </x:row>
    <x:row r="68" ht="42" customHeight="1">
      <x:c r="A68" s="31" t="n">
        <x:v>63</x:v>
      </x:c>
      <x:c r="B68" s="31" t="str">
        <x:v>S3-009</x:v>
      </x:c>
      <x:c r="C68" s="31" t="str">
        <x:v>阶段3：寻源、合同与转化</x:v>
      </x:c>
      <x:c r="D68" s="31" t="str">
        <x:v>V1.0基线</x:v>
      </x:c>
      <x:c r="E68" s="31" t="str">
        <x:v>战略寻源</x:v>
      </x:c>
      <x:c r="F68" s="31" t="str">
        <x:v>定标</x:v>
      </x:c>
      <x:c r="G68" s="31" t="str">
        <x:v>定标方案与中选结果</x:v>
      </x:c>
      <x:c r="H68" s="31" t="str">
        <x:v>功能</x:v>
      </x:c>
      <x:c r="I68" s="29" t="str">
        <x:v>sourcing/award</x:v>
      </x:c>
      <x:c r="J68" s="29" t="str">
        <x:v>按供应商、站点、物料、价格、目标份额/数量、工厂和条件形成中选方案。</x:v>
      </x:c>
      <x:c r="K68" s="29" t="str">
        <x:v>定标份额不等于供应配额和实际分配；定标不授予下单资格。</x:v>
      </x:c>
      <x:c r="L68" s="29" t="str">
        <x:v>S3-008</x:v>
      </x:c>
      <x:c r="M68" s="31" t="str">
        <x:v>P0</x:v>
      </x:c>
      <x:c r="N68" s="31" t="str">
        <x:v>XL</x:v>
      </x:c>
      <x:c r="O68" s="31" t="str">
        <x:v>开发Agent</x:v>
      </x:c>
      <x:c r="P68" s="31" t="str">
        <x:v>I08</x:v>
      </x:c>
      <x:c r="Q68" s="31" t="str">
        <x:v>S3-C 定标转化</x:v>
      </x:c>
      <x:c r="R68" s="33"/>
      <x:c r="S68" s="33"/>
      <x:c r="T68" s="31" t="str">
        <x:v>未开始</x:v>
      </x:c>
      <x:c r="U68" s="29" t="str">
        <x:v>定标方案与中选结果前后端功能、数据库迁移、权限点、接口及测试用例</x:v>
      </x:c>
      <x:c r="V68" s="29" t="str">
        <x:v>主路径可运行；权限、状态、异常、版本和审计校验通过；构建无错误</x:v>
      </x:c>
      <x:c r="W68" s="31" t="str">
        <x:v>待执行</x:v>
      </x:c>
      <x:c r="X68" s="31" t="str">
        <x:v>待执行</x:v>
      </x:c>
      <x:c r="Y68" s="31" t="str">
        <x:v>待执行</x:v>
      </x:c>
      <x:c r="Z68" s="31" t="str">
        <x:v>待执行</x:v>
      </x:c>
      <x:c r="AA68" s="33"/>
      <x:c r="AB68" s="29" t="str"/>
    </x:row>
    <x:row r="69" ht="42" customHeight="1">
      <x:c r="A69" s="31" t="n">
        <x:v>64</x:v>
      </x:c>
      <x:c r="B69" s="31" t="str">
        <x:v>S3-010</x:v>
      </x:c>
      <x:c r="C69" s="31" t="str">
        <x:v>阶段3：寻源、合同与转化</x:v>
      </x:c>
      <x:c r="D69" s="31" t="str">
        <x:v>V1.0基线</x:v>
      </x:c>
      <x:c r="E69" s="31" t="str">
        <x:v>战略寻源</x:v>
      </x:c>
      <x:c r="F69" s="31" t="str">
        <x:v>定标审批</x:v>
      </x:c>
      <x:c r="G69" s="31" t="str">
        <x:v>定标审批版本与重开</x:v>
      </x:c>
      <x:c r="H69" s="31" t="str">
        <x:v>功能</x:v>
      </x:c>
      <x:c r="I69" s="29" t="str">
        <x:v>sourcing/award</x:v>
      </x:c>
      <x:c r="J69" s="29" t="str">
        <x:v>实现G2审批、撤回、重新定标、备选/未中选通知和版本历史。</x:v>
      </x:c>
      <x:c r="K69" s="29" t="str">
        <x:v>评审证据、报价版本、利益冲突和定标理由可追溯。</x:v>
      </x:c>
      <x:c r="L69" s="29" t="str">
        <x:v>S3-009,S1-009</x:v>
      </x:c>
      <x:c r="M69" s="31" t="str">
        <x:v>P0</x:v>
      </x:c>
      <x:c r="N69" s="31" t="str">
        <x:v>L</x:v>
      </x:c>
      <x:c r="O69" s="31" t="str">
        <x:v>开发Agent</x:v>
      </x:c>
      <x:c r="P69" s="31" t="str">
        <x:v>I08</x:v>
      </x:c>
      <x:c r="Q69" s="31" t="str">
        <x:v>S3-C 定标转化</x:v>
      </x:c>
      <x:c r="R69" s="33"/>
      <x:c r="S69" s="33"/>
      <x:c r="T69" s="31" t="str">
        <x:v>未开始</x:v>
      </x:c>
      <x:c r="U69" s="29" t="str">
        <x:v>定标审批版本与重开前后端功能、数据库迁移、权限点、接口及测试用例</x:v>
      </x:c>
      <x:c r="V69" s="29" t="str">
        <x:v>主路径可运行；权限、状态、异常、版本和审计校验通过；构建无错误</x:v>
      </x:c>
      <x:c r="W69" s="31" t="str">
        <x:v>待执行</x:v>
      </x:c>
      <x:c r="X69" s="31" t="str">
        <x:v>待执行</x:v>
      </x:c>
      <x:c r="Y69" s="31" t="str">
        <x:v>待执行</x:v>
      </x:c>
      <x:c r="Z69" s="31" t="str">
        <x:v>待执行</x:v>
      </x:c>
      <x:c r="AA69" s="33"/>
      <x:c r="AB69" s="29" t="str"/>
    </x:row>
    <x:row r="70" ht="42" customHeight="1">
      <x:c r="A70" s="31" t="n">
        <x:v>65</x:v>
      </x:c>
      <x:c r="B70" s="31" t="str">
        <x:v>S3-011</x:v>
      </x:c>
      <x:c r="C70" s="31" t="str">
        <x:v>阶段3：寻源、合同与转化</x:v>
      </x:c>
      <x:c r="D70" s="31" t="str">
        <x:v>V1.0基线</x:v>
      </x:c>
      <x:c r="E70" s="31" t="str">
        <x:v>战略寻源</x:v>
      </x:c>
      <x:c r="F70" s="31" t="str">
        <x:v>中选转化</x:v>
      </x:c>
      <x:c r="G70" s="31" t="str">
        <x:v>并行转化任务编排</x:v>
      </x:c>
      <x:c r="H70" s="31" t="str">
        <x:v>功能</x:v>
      </x:c>
      <x:c r="I70" s="29" t="str">
        <x:v>sourcing/conversion</x:v>
      </x:c>
      <x:c r="J70" s="29" t="str">
        <x:v>按中选结果并行生成准入、物料资格、采购依据、价格和供应源任务。</x:v>
      </x:c>
      <x:c r="K70" s="29" t="str">
        <x:v>各任务独立状态；任何单项完成不自动将供应源提升为正式。</x:v>
      </x:c>
      <x:c r="L70" s="29" t="str">
        <x:v>S3-010,S1-010,S2-015</x:v>
      </x:c>
      <x:c r="M70" s="31" t="str">
        <x:v>P0</x:v>
      </x:c>
      <x:c r="N70" s="31" t="str">
        <x:v>XL</x:v>
      </x:c>
      <x:c r="O70" s="31" t="str">
        <x:v>开发Agent</x:v>
      </x:c>
      <x:c r="P70" s="31" t="str">
        <x:v>I08</x:v>
      </x:c>
      <x:c r="Q70" s="31" t="str">
        <x:v>S3-C 定标转化</x:v>
      </x:c>
      <x:c r="R70" s="33"/>
      <x:c r="S70" s="33"/>
      <x:c r="T70" s="31" t="str">
        <x:v>未开始</x:v>
      </x:c>
      <x:c r="U70" s="29" t="str">
        <x:v>并行转化任务编排前后端功能、数据库迁移、权限点、接口及测试用例</x:v>
      </x:c>
      <x:c r="V70" s="29" t="str">
        <x:v>主路径可运行；权限、状态、异常、版本和审计校验通过；构建无错误</x:v>
      </x:c>
      <x:c r="W70" s="31" t="str">
        <x:v>待执行</x:v>
      </x:c>
      <x:c r="X70" s="31" t="str">
        <x:v>待执行</x:v>
      </x:c>
      <x:c r="Y70" s="31" t="str">
        <x:v>待执行</x:v>
      </x:c>
      <x:c r="Z70" s="31" t="str">
        <x:v>待执行</x:v>
      </x:c>
      <x:c r="AA70" s="33"/>
      <x:c r="AB70" s="29" t="str"/>
    </x:row>
    <x:row r="71" ht="42" customHeight="1">
      <x:c r="A71" s="31" t="n">
        <x:v>66</x:v>
      </x:c>
      <x:c r="B71" s="31" t="str">
        <x:v>S3-012</x:v>
      </x:c>
      <x:c r="C71" s="31" t="str">
        <x:v>阶段3：寻源、合同与转化</x:v>
      </x:c>
      <x:c r="D71" s="31" t="str">
        <x:v>V1.0基线</x:v>
      </x:c>
      <x:c r="E71" s="31" t="str">
        <x:v>合同与价格管理</x:v>
      </x:c>
      <x:c r="F71" s="31" t="str">
        <x:v>合同台账</x:v>
      </x:c>
      <x:c r="G71" s="31" t="str">
        <x:v>合同与采购依据类型台账</x:v>
      </x:c>
      <x:c r="H71" s="31" t="str">
        <x:v>功能</x:v>
      </x:c>
      <x:c r="I71" s="29" t="str">
        <x:v>contract/core</x:v>
      </x:c>
      <x:c r="J71" s="29" t="str">
        <x:v>管理框架、专项、补充、价格、试制协议、PO条款引用和批准例外。</x:v>
      </x:c>
      <x:c r="K71" s="29" t="str">
        <x:v>合同不是所有路径固定串行关口；每种依据定义适用交易和限制。</x:v>
      </x:c>
      <x:c r="L71" s="29" t="str">
        <x:v>S2-004,S1-013,S1-015</x:v>
      </x:c>
      <x:c r="M71" s="31" t="str">
        <x:v>P0</x:v>
      </x:c>
      <x:c r="N71" s="31" t="str">
        <x:v>L</x:v>
      </x:c>
      <x:c r="O71" s="31" t="str">
        <x:v>开发Agent</x:v>
      </x:c>
      <x:c r="P71" s="31" t="str">
        <x:v>I08</x:v>
      </x:c>
      <x:c r="Q71" s="31" t="str">
        <x:v>S3-D 合同价格</x:v>
      </x:c>
      <x:c r="R71" s="33"/>
      <x:c r="S71" s="33"/>
      <x:c r="T71" s="31" t="str">
        <x:v>未开始</x:v>
      </x:c>
      <x:c r="U71" s="29" t="str">
        <x:v>合同与采购依据类型台账前后端功能、数据库迁移、权限点、接口及测试用例</x:v>
      </x:c>
      <x:c r="V71" s="29" t="str">
        <x:v>主路径可运行；权限、状态、异常、版本和审计校验通过；构建无错误</x:v>
      </x:c>
      <x:c r="W71" s="31" t="str">
        <x:v>待执行</x:v>
      </x:c>
      <x:c r="X71" s="31" t="str">
        <x:v>待执行</x:v>
      </x:c>
      <x:c r="Y71" s="31" t="str">
        <x:v>待执行</x:v>
      </x:c>
      <x:c r="Z71" s="31" t="str">
        <x:v>待执行</x:v>
      </x:c>
      <x:c r="AA71" s="33"/>
      <x:c r="AB71" s="29" t="str"/>
    </x:row>
    <x:row r="72" ht="42" customHeight="1">
      <x:c r="A72" s="31" t="n">
        <x:v>67</x:v>
      </x:c>
      <x:c r="B72" s="31" t="str">
        <x:v>S3-013</x:v>
      </x:c>
      <x:c r="C72" s="31" t="str">
        <x:v>阶段3：寻源、合同与转化</x:v>
      </x:c>
      <x:c r="D72" s="31" t="str">
        <x:v>V1.0基线</x:v>
      </x:c>
      <x:c r="E72" s="31" t="str">
        <x:v>合同与价格管理</x:v>
      </x:c>
      <x:c r="F72" s="31" t="str">
        <x:v>合同生命周期</x:v>
      </x:c>
      <x:c r="G72" s="31" t="str">
        <x:v>合同评审签署与版本</x:v>
      </x:c>
      <x:c r="H72" s="31" t="str">
        <x:v>功能</x:v>
      </x:c>
      <x:c r="I72" s="29" t="str">
        <x:v>contract/lifecycle</x:v>
      </x:c>
      <x:c r="J72" s="29" t="str">
        <x:v>实现草稿、评审、协商、待签、已签待生效、生效、临期、到期和终止。</x:v>
      </x:c>
      <x:c r="K72" s="29" t="str">
        <x:v>已生效版本不可覆盖；外部/线下签署首期保留元数据和证据。</x:v>
      </x:c>
      <x:c r="L72" s="29" t="str">
        <x:v>S3-012,S1-009</x:v>
      </x:c>
      <x:c r="M72" s="31" t="str">
        <x:v>P0</x:v>
      </x:c>
      <x:c r="N72" s="31" t="str">
        <x:v>XL</x:v>
      </x:c>
      <x:c r="O72" s="31" t="str">
        <x:v>开发Agent</x:v>
      </x:c>
      <x:c r="P72" s="31" t="str">
        <x:v>I09</x:v>
      </x:c>
      <x:c r="Q72" s="31" t="str">
        <x:v>S3-D 合同价格</x:v>
      </x:c>
      <x:c r="R72" s="33"/>
      <x:c r="S72" s="33"/>
      <x:c r="T72" s="31" t="str">
        <x:v>未开始</x:v>
      </x:c>
      <x:c r="U72" s="29" t="str">
        <x:v>合同评审签署与版本前后端功能、数据库迁移、权限点、接口及测试用例</x:v>
      </x:c>
      <x:c r="V72" s="29" t="str">
        <x:v>主路径可运行；权限、状态、异常、版本和审计校验通过；构建无错误</x:v>
      </x:c>
      <x:c r="W72" s="31" t="str">
        <x:v>待执行</x:v>
      </x:c>
      <x:c r="X72" s="31" t="str">
        <x:v>待执行</x:v>
      </x:c>
      <x:c r="Y72" s="31" t="str">
        <x:v>待执行</x:v>
      </x:c>
      <x:c r="Z72" s="31" t="str">
        <x:v>待执行</x:v>
      </x:c>
      <x:c r="AA72" s="33"/>
      <x:c r="AB72" s="29" t="str"/>
    </x:row>
    <x:row r="73" ht="42" customHeight="1">
      <x:c r="A73" s="31" t="n">
        <x:v>68</x:v>
      </x:c>
      <x:c r="B73" s="31" t="str">
        <x:v>S3-014</x:v>
      </x:c>
      <x:c r="C73" s="31" t="str">
        <x:v>阶段3：寻源、合同与转化</x:v>
      </x:c>
      <x:c r="D73" s="31" t="str">
        <x:v>V1.0基线</x:v>
      </x:c>
      <x:c r="E73" s="31" t="str">
        <x:v>合同与价格管理</x:v>
      </x:c>
      <x:c r="F73" s="31" t="str">
        <x:v>覆盖校验</x:v>
      </x:c>
      <x:c r="G73" s="31" t="str">
        <x:v>采购依据覆盖与有效性服务</x:v>
      </x:c>
      <x:c r="H73" s="31" t="str">
        <x:v>功能</x:v>
      </x:c>
      <x:c r="I73" s="29" t="str">
        <x:v>contract/coverage</x:v>
      </x:c>
      <x:c r="J73" s="29" t="str">
        <x:v>校验供应商/站点、物料/品类、组织、工厂、交易类型、额度和有效期。</x:v>
      </x:c>
      <x:c r="K73" s="29" t="str">
        <x:v>正式供应源/PO必须能解释最终交易依据组合。</x:v>
      </x:c>
      <x:c r="L73" s="29" t="str">
        <x:v>S3-012,S3-013</x:v>
      </x:c>
      <x:c r="M73" s="31" t="str">
        <x:v>P0</x:v>
      </x:c>
      <x:c r="N73" s="31" t="str">
        <x:v>XL</x:v>
      </x:c>
      <x:c r="O73" s="31" t="str">
        <x:v>开发Agent</x:v>
      </x:c>
      <x:c r="P73" s="31" t="str">
        <x:v>I09</x:v>
      </x:c>
      <x:c r="Q73" s="31" t="str">
        <x:v>S3-D 合同价格</x:v>
      </x:c>
      <x:c r="R73" s="33"/>
      <x:c r="S73" s="33"/>
      <x:c r="T73" s="31" t="str">
        <x:v>未开始</x:v>
      </x:c>
      <x:c r="U73" s="29" t="str">
        <x:v>采购依据覆盖与有效性服务前后端功能、数据库迁移、权限点、接口及测试用例</x:v>
      </x:c>
      <x:c r="V73" s="29" t="str">
        <x:v>主路径可运行；权限、状态、异常、版本和审计校验通过；构建无错误</x:v>
      </x:c>
      <x:c r="W73" s="31" t="str">
        <x:v>待执行</x:v>
      </x:c>
      <x:c r="X73" s="31" t="str">
        <x:v>待执行</x:v>
      </x:c>
      <x:c r="Y73" s="31" t="str">
        <x:v>待执行</x:v>
      </x:c>
      <x:c r="Z73" s="31" t="str">
        <x:v>待执行</x:v>
      </x:c>
      <x:c r="AA73" s="33"/>
      <x:c r="AB73" s="29" t="str"/>
    </x:row>
    <x:row r="74" ht="42" customHeight="1">
      <x:c r="A74" s="31" t="n">
        <x:v>69</x:v>
      </x:c>
      <x:c r="B74" s="31" t="str">
        <x:v>S3-015</x:v>
      </x:c>
      <x:c r="C74" s="31" t="str">
        <x:v>阶段3：寻源、合同与转化</x:v>
      </x:c>
      <x:c r="D74" s="31" t="str">
        <x:v>V1.0基线</x:v>
      </x:c>
      <x:c r="E74" s="31" t="str">
        <x:v>合同与价格管理</x:v>
      </x:c>
      <x:c r="F74" s="31" t="str">
        <x:v>价格条件</x:v>
      </x:c>
      <x:c r="G74" s="31" t="str">
        <x:v>采购价格条件与版本</x:v>
      </x:c>
      <x:c r="H74" s="31" t="str">
        <x:v>功能</x:v>
      </x:c>
      <x:c r="I74" s="29" t="str">
        <x:v>pricing/core</x:v>
      </x:c>
      <x:c r="J74" s="29" t="str">
        <x:v>支持固定、阶梯、试制/量产、公式、币种、税、价格单位、有效期和审批。</x:v>
      </x:c>
      <x:c r="K74" s="29" t="str">
        <x:v>订单引用生效价格快照；新版本不改变历史PO。</x:v>
      </x:c>
      <x:c r="L74" s="29" t="str">
        <x:v>S3-009,S3-012,S1-017</x:v>
      </x:c>
      <x:c r="M74" s="31" t="str">
        <x:v>P0</x:v>
      </x:c>
      <x:c r="N74" s="31" t="str">
        <x:v>XL</x:v>
      </x:c>
      <x:c r="O74" s="31" t="str">
        <x:v>开发Agent</x:v>
      </x:c>
      <x:c r="P74" s="31" t="str">
        <x:v>I09</x:v>
      </x:c>
      <x:c r="Q74" s="31" t="str">
        <x:v>S3-D 合同价格</x:v>
      </x:c>
      <x:c r="R74" s="33"/>
      <x:c r="S74" s="33"/>
      <x:c r="T74" s="31" t="str">
        <x:v>未开始</x:v>
      </x:c>
      <x:c r="U74" s="29" t="str">
        <x:v>采购价格条件与版本前后端功能、数据库迁移、权限点、接口及测试用例</x:v>
      </x:c>
      <x:c r="V74" s="29" t="str">
        <x:v>主路径可运行；权限、状态、异常、版本和审计校验通过；构建无错误</x:v>
      </x:c>
      <x:c r="W74" s="31" t="str">
        <x:v>待执行</x:v>
      </x:c>
      <x:c r="X74" s="31" t="str">
        <x:v>待执行</x:v>
      </x:c>
      <x:c r="Y74" s="31" t="str">
        <x:v>待执行</x:v>
      </x:c>
      <x:c r="Z74" s="31" t="str">
        <x:v>待执行</x:v>
      </x:c>
      <x:c r="AA74" s="33"/>
      <x:c r="AB74" s="29" t="str"/>
    </x:row>
    <x:row r="75" ht="42" customHeight="1">
      <x:c r="A75" s="31" t="n">
        <x:v>70</x:v>
      </x:c>
      <x:c r="B75" s="31" t="str">
        <x:v>S3-016</x:v>
      </x:c>
      <x:c r="C75" s="31" t="str">
        <x:v>阶段3：寻源、合同与转化</x:v>
      </x:c>
      <x:c r="D75" s="31" t="str">
        <x:v>V1.0基线</x:v>
      </x:c>
      <x:c r="E75" s="31" t="str">
        <x:v>合同与价格管理</x:v>
      </x:c>
      <x:c r="F75" s="31" t="str">
        <x:v>调价续签</x:v>
      </x:c>
      <x:c r="G75" s="31" t="str">
        <x:v>调价续签终止与临期预警</x:v>
      </x:c>
      <x:c r="H75" s="31" t="str">
        <x:v>功能</x:v>
      </x:c>
      <x:c r="I75" s="29" t="str">
        <x:v>contract/renewal</x:v>
      </x:c>
      <x:c r="J75" s="29" t="str">
        <x:v>实现调价申请、价格版本、生效日期、续签、终止和临期任务。</x:v>
      </x:c>
      <x:c r="K75" s="29" t="str">
        <x:v>临期/终止触发关联供应源与开放业务影响评估。</x:v>
      </x:c>
      <x:c r="L75" s="29" t="str">
        <x:v>S3-013,S3-015,S1-010</x:v>
      </x:c>
      <x:c r="M75" s="31" t="str">
        <x:v>P1</x:v>
      </x:c>
      <x:c r="N75" s="31" t="str">
        <x:v>L</x:v>
      </x:c>
      <x:c r="O75" s="31" t="str">
        <x:v>开发Agent</x:v>
      </x:c>
      <x:c r="P75" s="31" t="str">
        <x:v>I09</x:v>
      </x:c>
      <x:c r="Q75" s="31" t="str">
        <x:v>S3-D 合同价格</x:v>
      </x:c>
      <x:c r="R75" s="33"/>
      <x:c r="S75" s="33"/>
      <x:c r="T75" s="31" t="str">
        <x:v>未开始</x:v>
      </x:c>
      <x:c r="U75" s="29" t="str">
        <x:v>调价续签终止与临期预警前后端功能、数据库迁移、权限点、接口及测试用例</x:v>
      </x:c>
      <x:c r="V75" s="29" t="str">
        <x:v>主路径可运行；权限、状态、异常、版本和审计校验通过；构建无错误</x:v>
      </x:c>
      <x:c r="W75" s="31" t="str">
        <x:v>待执行</x:v>
      </x:c>
      <x:c r="X75" s="31" t="str">
        <x:v>待执行</x:v>
      </x:c>
      <x:c r="Y75" s="31" t="str">
        <x:v>待执行</x:v>
      </x:c>
      <x:c r="Z75" s="31" t="str">
        <x:v>待执行</x:v>
      </x:c>
      <x:c r="AA75" s="33"/>
      <x:c r="AB75" s="29" t="str"/>
    </x:row>
    <x:row r="76" ht="42" customHeight="1">
      <x:c r="A76" s="31" t="n">
        <x:v>71</x:v>
      </x:c>
      <x:c r="B76" s="31" t="str">
        <x:v>S3-017</x:v>
      </x:c>
      <x:c r="C76" s="31" t="str">
        <x:v>阶段3：寻源、合同与转化</x:v>
      </x:c>
      <x:c r="D76" s="31" t="str">
        <x:v>V1.0基线</x:v>
      </x:c>
      <x:c r="E76" s="31" t="str">
        <x:v>供应源管理</x:v>
      </x:c>
      <x:c r="F76" s="31" t="str">
        <x:v>激活关口</x:v>
      </x:c>
      <x:c r="G76" s="31" t="str">
        <x:v>供应源激活规则引擎G3</x:v>
      </x:c>
      <x:c r="H76" s="31" t="str">
        <x:v>功能</x:v>
      </x:c>
      <x:c r="I76" s="29" t="str">
        <x:v>source/activation</x:v>
      </x:c>
      <x:c r="J76" s="29" t="str">
        <x:v>按场景校验主体/站点准入、物料资格、采购依据、价格、能力、范围和有效期。</x:v>
      </x:c>
      <x:c r="K76" s="29" t="str">
        <x:v>缺失强制项只能保持候选/试制/条件状态；激活结果保存规则快照。</x:v>
      </x:c>
      <x:c r="L76" s="29" t="str">
        <x:v>S2-015:S2-018,S3-011,S3-014,S3-015</x:v>
      </x:c>
      <x:c r="M76" s="31" t="str">
        <x:v>P0</x:v>
      </x:c>
      <x:c r="N76" s="31" t="str">
        <x:v>XL</x:v>
      </x:c>
      <x:c r="O76" s="31" t="str">
        <x:v>开发Agent</x:v>
      </x:c>
      <x:c r="P76" s="31" t="str">
        <x:v>I09</x:v>
      </x:c>
      <x:c r="Q76" s="31" t="str">
        <x:v>S3-C 定标转化</x:v>
      </x:c>
      <x:c r="R76" s="33"/>
      <x:c r="S76" s="33"/>
      <x:c r="T76" s="31" t="str">
        <x:v>未开始</x:v>
      </x:c>
      <x:c r="U76" s="29" t="str">
        <x:v>供应源激活规则引擎G3前后端功能、数据库迁移、权限点、接口及测试用例</x:v>
      </x:c>
      <x:c r="V76" s="29" t="str">
        <x:v>主路径可运行；权限、状态、异常、版本和审计校验通过；构建无错误</x:v>
      </x:c>
      <x:c r="W76" s="31" t="str">
        <x:v>待执行</x:v>
      </x:c>
      <x:c r="X76" s="31" t="str">
        <x:v>待执行</x:v>
      </x:c>
      <x:c r="Y76" s="31" t="str">
        <x:v>待执行</x:v>
      </x:c>
      <x:c r="Z76" s="31" t="str">
        <x:v>待执行</x:v>
      </x:c>
      <x:c r="AA76" s="33"/>
      <x:c r="AB76" s="29" t="str"/>
    </x:row>
    <x:row r="77" ht="42" customHeight="1">
      <x:c r="A77" s="31" t="n">
        <x:v>72</x:v>
      </x:c>
      <x:c r="B77" s="31" t="str">
        <x:v>S3-018</x:v>
      </x:c>
      <x:c r="C77" s="31" t="str">
        <x:v>阶段3：寻源、合同与转化</x:v>
      </x:c>
      <x:c r="D77" s="31" t="str">
        <x:v>V1.0基线</x:v>
      </x:c>
      <x:c r="E77" s="31" t="str">
        <x:v>端到端验收</x:v>
      </x:c>
      <x:c r="F77" s="31" t="str">
        <x:v>寻源转化</x:v>
      </x:c>
      <x:c r="G77" s="31" t="str">
        <x:v>RFQ定标到条件供应源场景</x:v>
      </x:c>
      <x:c r="H77" s="31" t="str">
        <x:v>测试</x:v>
      </x:c>
      <x:c r="I77" s="29" t="str">
        <x:v>tests/e2e-sourcing</x:v>
      </x:c>
      <x:c r="J77" s="29" t="str">
        <x:v>验证多轮报价、评审定标、依据/价格/资格并行转化和供应源激活。</x:v>
      </x:c>
      <x:c r="K77" s="29" t="str">
        <x:v>包含资格不足、合同失效、价格未生效、重新定标和非最低价中标负向用例。</x:v>
      </x:c>
      <x:c r="L77" s="29" t="str">
        <x:v>S3-001:S3-017</x:v>
      </x:c>
      <x:c r="M77" s="31" t="str">
        <x:v>P0</x:v>
      </x:c>
      <x:c r="N77" s="31" t="str">
        <x:v>XL</x:v>
      </x:c>
      <x:c r="O77" s="31" t="str">
        <x:v>Codex复核/用户验收</x:v>
      </x:c>
      <x:c r="P77" s="31" t="str">
        <x:v>I09</x:v>
      </x:c>
      <x:c r="Q77" s="31" t="str">
        <x:v>S3-E 阶段验收</x:v>
      </x:c>
      <x:c r="R77" s="33"/>
      <x:c r="S77" s="33"/>
      <x:c r="T77" s="31" t="str">
        <x:v>未开始</x:v>
      </x:c>
      <x:c r="U77" s="29" t="str">
        <x:v>RFQ定标到条件供应源场景测试脚本、缺陷清单与报告</x:v>
      </x:c>
      <x:c r="V77" s="29" t="str">
        <x:v>正向、负向、越权和异常场景通过；P0/P1缺陷关闭</x:v>
      </x:c>
      <x:c r="W77" s="31" t="str">
        <x:v>待执行</x:v>
      </x:c>
      <x:c r="X77" s="31" t="str">
        <x:v>待执行</x:v>
      </x:c>
      <x:c r="Y77" s="31" t="str">
        <x:v>待执行</x:v>
      </x:c>
      <x:c r="Z77" s="31" t="str">
        <x:v>不适用</x:v>
      </x:c>
      <x:c r="AA77" s="33"/>
      <x:c r="AB77" s="29" t="str"/>
    </x:row>
    <x:row r="78" ht="42" customHeight="1">
      <x:c r="A78" s="31" t="n">
        <x:v>73</x:v>
      </x:c>
      <x:c r="B78" s="31" t="str">
        <x:v>S4-001</x:v>
      </x:c>
      <x:c r="C78" s="31" t="str">
        <x:v>阶段4：采购与交付闭环</x:v>
      </x:c>
      <x:c r="D78" s="31" t="str">
        <x:v>V1.0基线</x:v>
      </x:c>
      <x:c r="E78" s="31" t="str">
        <x:v>采购协同</x:v>
      </x:c>
      <x:c r="F78" s="31" t="str">
        <x:v>采购需求</x:v>
      </x:c>
      <x:c r="G78" s="31" t="str">
        <x:v>采购需求接收导入与接口</x:v>
      </x:c>
      <x:c r="H78" s="31" t="str">
        <x:v>集成</x:v>
      </x:c>
      <x:c r="I78" s="29" t="str">
        <x:v>procurement/demand</x:v>
      </x:c>
      <x:c r="J78" s="29" t="str">
        <x:v>接收ERP/MRP或人工导入的需求行、来源、数量、日期、优先级和版本。</x:v>
      </x:c>
      <x:c r="K78" s="29" t="str">
        <x:v>SRM不执行MRP；同一外部版本幂等；来源行可追溯。</x:v>
      </x:c>
      <x:c r="L78" s="29" t="str">
        <x:v>阶段3完成,D-001</x:v>
      </x:c>
      <x:c r="M78" s="31" t="str">
        <x:v>P0</x:v>
      </x:c>
      <x:c r="N78" s="31" t="str">
        <x:v>XL</x:v>
      </x:c>
      <x:c r="O78" s="31" t="str">
        <x:v>开发Agent</x:v>
      </x:c>
      <x:c r="P78" s="31" t="str">
        <x:v>I10</x:v>
      </x:c>
      <x:c r="Q78" s="31" t="str">
        <x:v>S4-A 需求分配</x:v>
      </x:c>
      <x:c r="R78" s="33"/>
      <x:c r="S78" s="33"/>
      <x:c r="T78" s="31" t="str">
        <x:v>未开始</x:v>
      </x:c>
      <x:c r="U78" s="29" t="str">
        <x:v>采购需求接收导入与接口接口契约、实现、幂等/补偿与联调用例</x:v>
      </x:c>
      <x:c r="V78" s="29" t="str">
        <x:v>主流程、重复、乱序、失败重试和对账场景通过；业务状态不被接口失败误改</x:v>
      </x:c>
      <x:c r="W78" s="31" t="str">
        <x:v>待执行</x:v>
      </x:c>
      <x:c r="X78" s="31" t="str">
        <x:v>待执行</x:v>
      </x:c>
      <x:c r="Y78" s="31" t="str">
        <x:v>待执行</x:v>
      </x:c>
      <x:c r="Z78" s="31" t="str">
        <x:v>待执行</x:v>
      </x:c>
      <x:c r="AA78" s="33"/>
      <x:c r="AB78" s="29" t="str"/>
    </x:row>
    <x:row r="79" ht="42" customHeight="1">
      <x:c r="A79" s="31" t="n">
        <x:v>74</x:v>
      </x:c>
      <x:c r="B79" s="31" t="str">
        <x:v>S4-002</x:v>
      </x:c>
      <x:c r="C79" s="31" t="str">
        <x:v>阶段4：采购与交付闭环</x:v>
      </x:c>
      <x:c r="D79" s="31" t="str">
        <x:v>V1.0基线</x:v>
      </x:c>
      <x:c r="E79" s="31" t="str">
        <x:v>采购协同</x:v>
      </x:c>
      <x:c r="F79" s="31" t="str">
        <x:v>需求校验</x:v>
      </x:c>
      <x:c r="G79" s="31" t="str">
        <x:v>需求版本校验与状态</x:v>
      </x:c>
      <x:c r="H79" s="31" t="str">
        <x:v>功能</x:v>
      </x:c>
      <x:c r="I79" s="29" t="str">
        <x:v>procurement/demand</x:v>
      </x:c>
      <x:c r="J79" s="29" t="str">
        <x:v>校验组织、工厂、物料、单位、日期、取消/变更和已处理数量。</x:v>
      </x:c>
      <x:c r="K79" s="29" t="str">
        <x:v>旧版本不得覆盖新版本；已下单事实不能被源系统静默删除。</x:v>
      </x:c>
      <x:c r="L79" s="29" t="str">
        <x:v>S4-001,S1-018</x:v>
      </x:c>
      <x:c r="M79" s="31" t="str">
        <x:v>P0</x:v>
      </x:c>
      <x:c r="N79" s="31" t="str">
        <x:v>L</x:v>
      </x:c>
      <x:c r="O79" s="31" t="str">
        <x:v>开发Agent</x:v>
      </x:c>
      <x:c r="P79" s="31" t="str">
        <x:v>I10</x:v>
      </x:c>
      <x:c r="Q79" s="31" t="str">
        <x:v>S4-A 需求分配</x:v>
      </x:c>
      <x:c r="R79" s="33"/>
      <x:c r="S79" s="33"/>
      <x:c r="T79" s="31" t="str">
        <x:v>未开始</x:v>
      </x:c>
      <x:c r="U79" s="29" t="str">
        <x:v>需求版本校验与状态前后端功能、数据库迁移、权限点、接口及测试用例</x:v>
      </x:c>
      <x:c r="V79" s="29" t="str">
        <x:v>主路径可运行；权限、状态、异常、版本和审计校验通过；构建无错误</x:v>
      </x:c>
      <x:c r="W79" s="31" t="str">
        <x:v>待执行</x:v>
      </x:c>
      <x:c r="X79" s="31" t="str">
        <x:v>待执行</x:v>
      </x:c>
      <x:c r="Y79" s="31" t="str">
        <x:v>待执行</x:v>
      </x:c>
      <x:c r="Z79" s="31" t="str">
        <x:v>待执行</x:v>
      </x:c>
      <x:c r="AA79" s="33"/>
      <x:c r="AB79" s="29" t="str"/>
    </x:row>
    <x:row r="80" ht="42" customHeight="1">
      <x:c r="A80" s="31" t="n">
        <x:v>75</x:v>
      </x:c>
      <x:c r="B80" s="31" t="str">
        <x:v>S4-003</x:v>
      </x:c>
      <x:c r="C80" s="31" t="str">
        <x:v>阶段4：采购与交付闭环</x:v>
      </x:c>
      <x:c r="D80" s="31" t="str">
        <x:v>V1.0基线</x:v>
      </x:c>
      <x:c r="E80" s="31" t="str">
        <x:v>采购协同</x:v>
      </x:c>
      <x:c r="F80" s="31" t="str">
        <x:v>供应源匹配</x:v>
      </x:c>
      <x:c r="G80" s="31" t="str">
        <x:v>供应源匹配服务</x:v>
      </x:c>
      <x:c r="H80" s="31" t="str">
        <x:v>功能</x:v>
      </x:c>
      <x:c r="I80" s="29" t="str">
        <x:v>procurement/matching</x:v>
      </x:c>
      <x:c r="J80" s="29" t="str">
        <x:v>按有效正式/允许状态供应源、价格、能力、交期、配额和风险匹配需求。</x:v>
      </x:c>
      <x:c r="K80" s="29" t="str">
        <x:v>匹配为推荐与初检；发布分配和PO时再次校验。</x:v>
      </x:c>
      <x:c r="L80" s="29" t="str">
        <x:v>S4-002,S3-017</x:v>
      </x:c>
      <x:c r="M80" s="31" t="str">
        <x:v>P0</x:v>
      </x:c>
      <x:c r="N80" s="31" t="str">
        <x:v>XL</x:v>
      </x:c>
      <x:c r="O80" s="31" t="str">
        <x:v>开发Agent</x:v>
      </x:c>
      <x:c r="P80" s="31" t="str">
        <x:v>I10</x:v>
      </x:c>
      <x:c r="Q80" s="31" t="str">
        <x:v>S4-A 需求分配</x:v>
      </x:c>
      <x:c r="R80" s="33"/>
      <x:c r="S80" s="33"/>
      <x:c r="T80" s="31" t="str">
        <x:v>未开始</x:v>
      </x:c>
      <x:c r="U80" s="29" t="str">
        <x:v>供应源匹配服务前后端功能、数据库迁移、权限点、接口及测试用例</x:v>
      </x:c>
      <x:c r="V80" s="29" t="str">
        <x:v>主路径可运行；权限、状态、异常、版本和审计校验通过；构建无错误</x:v>
      </x:c>
      <x:c r="W80" s="31" t="str">
        <x:v>待执行</x:v>
      </x:c>
      <x:c r="X80" s="31" t="str">
        <x:v>待执行</x:v>
      </x:c>
      <x:c r="Y80" s="31" t="str">
        <x:v>待执行</x:v>
      </x:c>
      <x:c r="Z80" s="31" t="str">
        <x:v>待执行</x:v>
      </x:c>
      <x:c r="AA80" s="33"/>
      <x:c r="AB80" s="29" t="str"/>
    </x:row>
    <x:row r="81" ht="42" customHeight="1">
      <x:c r="A81" s="31" t="n">
        <x:v>76</x:v>
      </x:c>
      <x:c r="B81" s="31" t="str">
        <x:v>S4-004</x:v>
      </x:c>
      <x:c r="C81" s="31" t="str">
        <x:v>阶段4：采购与交付闭环</x:v>
      </x:c>
      <x:c r="D81" s="31" t="str">
        <x:v>V1.0基线</x:v>
      </x:c>
      <x:c r="E81" s="31" t="str">
        <x:v>采购协同</x:v>
      </x:c>
      <x:c r="F81" s="31" t="str">
        <x:v>需求缺口</x:v>
      </x:c>
      <x:c r="G81" s="31" t="str">
        <x:v>需求缺口台账</x:v>
      </x:c>
      <x:c r="H81" s="31" t="str">
        <x:v>功能</x:v>
      </x:c>
      <x:c r="I81" s="29" t="str">
        <x:v>procurement/gap</x:v>
      </x:c>
      <x:c r="J81" s="29" t="str">
        <x:v>形成未覆盖数量、原因、最晚解决时间、责任人、处置路径和关联任务。</x:v>
      </x:c>
      <x:c r="K81" s="29" t="str">
        <x:v>不得仅以“已处理”关闭；必须说明数量如何被覆盖、取消或例外。</x:v>
      </x:c>
      <x:c r="L81" s="29" t="str">
        <x:v>S4-003,S1-010</x:v>
      </x:c>
      <x:c r="M81" s="31" t="str">
        <x:v>P0</x:v>
      </x:c>
      <x:c r="N81" s="31" t="str">
        <x:v>L</x:v>
      </x:c>
      <x:c r="O81" s="31" t="str">
        <x:v>开发Agent</x:v>
      </x:c>
      <x:c r="P81" s="31" t="str">
        <x:v>I10</x:v>
      </x:c>
      <x:c r="Q81" s="31" t="str">
        <x:v>S4-A 需求分配</x:v>
      </x:c>
      <x:c r="R81" s="33"/>
      <x:c r="S81" s="33"/>
      <x:c r="T81" s="31" t="str">
        <x:v>未开始</x:v>
      </x:c>
      <x:c r="U81" s="29" t="str">
        <x:v>需求缺口台账前后端功能、数据库迁移、权限点、接口及测试用例</x:v>
      </x:c>
      <x:c r="V81" s="29" t="str">
        <x:v>主路径可运行；权限、状态、异常、版本和审计校验通过；构建无错误</x:v>
      </x:c>
      <x:c r="W81" s="31" t="str">
        <x:v>待执行</x:v>
      </x:c>
      <x:c r="X81" s="31" t="str">
        <x:v>待执行</x:v>
      </x:c>
      <x:c r="Y81" s="31" t="str">
        <x:v>待执行</x:v>
      </x:c>
      <x:c r="Z81" s="31" t="str">
        <x:v>待执行</x:v>
      </x:c>
      <x:c r="AA81" s="33"/>
      <x:c r="AB81" s="29" t="str"/>
    </x:row>
    <x:row r="82" ht="42" customHeight="1">
      <x:c r="A82" s="31" t="n">
        <x:v>77</x:v>
      </x:c>
      <x:c r="B82" s="31" t="str">
        <x:v>S4-005</x:v>
      </x:c>
      <x:c r="C82" s="31" t="str">
        <x:v>阶段4：采购与交付闭环</x:v>
      </x:c>
      <x:c r="D82" s="31" t="str">
        <x:v>V1.0基线</x:v>
      </x:c>
      <x:c r="E82" s="31" t="str">
        <x:v>采购协同</x:v>
      </x:c>
      <x:c r="F82" s="31" t="str">
        <x:v>缺口处置</x:v>
      </x:c>
      <x:c r="G82" s="31" t="str">
        <x:v>缺口多路径处置</x:v>
      </x:c>
      <x:c r="H82" s="31" t="str">
        <x:v>功能</x:v>
      </x:c>
      <x:c r="I82" s="29" t="str">
        <x:v>procurement/gap</x:v>
      </x:c>
      <x:c r="J82" s="29" t="str">
        <x:v>支持现有源加量、交期调整、替代/跨工厂、紧急例外或触发新寻源。</x:v>
      </x:c>
      <x:c r="K82" s="29" t="str">
        <x:v>任何处置保留审批、影响和关闭证据；新寻源回链原需求。</x:v>
      </x:c>
      <x:c r="L82" s="29" t="str">
        <x:v>S4-004,S3-001,S1-009</x:v>
      </x:c>
      <x:c r="M82" s="31" t="str">
        <x:v>P0</x:v>
      </x:c>
      <x:c r="N82" s="31" t="str">
        <x:v>XL</x:v>
      </x:c>
      <x:c r="O82" s="31" t="str">
        <x:v>开发Agent</x:v>
      </x:c>
      <x:c r="P82" s="31" t="str">
        <x:v>I10</x:v>
      </x:c>
      <x:c r="Q82" s="31" t="str">
        <x:v>S4-A 需求分配</x:v>
      </x:c>
      <x:c r="R82" s="33"/>
      <x:c r="S82" s="33"/>
      <x:c r="T82" s="31" t="str">
        <x:v>未开始</x:v>
      </x:c>
      <x:c r="U82" s="29" t="str">
        <x:v>缺口多路径处置前后端功能、数据库迁移、权限点、接口及测试用例</x:v>
      </x:c>
      <x:c r="V82" s="29" t="str">
        <x:v>主路径可运行；权限、状态、异常、版本和审计校验通过；构建无错误</x:v>
      </x:c>
      <x:c r="W82" s="31" t="str">
        <x:v>待执行</x:v>
      </x:c>
      <x:c r="X82" s="31" t="str">
        <x:v>待执行</x:v>
      </x:c>
      <x:c r="Y82" s="31" t="str">
        <x:v>待执行</x:v>
      </x:c>
      <x:c r="Z82" s="31" t="str">
        <x:v>待执行</x:v>
      </x:c>
      <x:c r="AA82" s="33"/>
      <x:c r="AB82" s="29" t="str"/>
    </x:row>
    <x:row r="83" ht="42" customHeight="1">
      <x:c r="A83" s="31" t="n">
        <x:v>78</x:v>
      </x:c>
      <x:c r="B83" s="31" t="str">
        <x:v>S4-006</x:v>
      </x:c>
      <x:c r="C83" s="31" t="str">
        <x:v>阶段4：采购与交付闭环</x:v>
      </x:c>
      <x:c r="D83" s="31" t="str">
        <x:v>V1.0基线</x:v>
      </x:c>
      <x:c r="E83" s="31" t="str">
        <x:v>采购协同</x:v>
      </x:c>
      <x:c r="F83" s="31" t="str">
        <x:v>需求分配</x:v>
      </x:c>
      <x:c r="G83" s="31" t="str">
        <x:v>多供应商分配推荐</x:v>
      </x:c>
      <x:c r="H83" s="31" t="str">
        <x:v>功能</x:v>
      </x:c>
      <x:c r="I83" s="29" t="str">
        <x:v>procurement/allocation</x:v>
      </x:c>
      <x:c r="J83" s="29" t="str">
        <x:v>结合配额、累计量、产能、交期、MOQ/MPQ、质量风险和成本推荐数量。</x:v>
      </x:c>
      <x:c r="K83" s="29" t="str">
        <x:v>第一版规则推荐+人工确认；推荐依据可解释。</x:v>
      </x:c>
      <x:c r="L83" s="29" t="str">
        <x:v>S4-003,S2-017</x:v>
      </x:c>
      <x:c r="M83" s="31" t="str">
        <x:v>P0</x:v>
      </x:c>
      <x:c r="N83" s="31" t="str">
        <x:v>XL</x:v>
      </x:c>
      <x:c r="O83" s="31" t="str">
        <x:v>开发Agent</x:v>
      </x:c>
      <x:c r="P83" s="31" t="str">
        <x:v>I10</x:v>
      </x:c>
      <x:c r="Q83" s="31" t="str">
        <x:v>S4-A 需求分配</x:v>
      </x:c>
      <x:c r="R83" s="33"/>
      <x:c r="S83" s="33"/>
      <x:c r="T83" s="31" t="str">
        <x:v>未开始</x:v>
      </x:c>
      <x:c r="U83" s="29" t="str">
        <x:v>多供应商分配推荐前后端功能、数据库迁移、权限点、接口及测试用例</x:v>
      </x:c>
      <x:c r="V83" s="29" t="str">
        <x:v>主路径可运行；权限、状态、异常、版本和审计校验通过；构建无错误</x:v>
      </x:c>
      <x:c r="W83" s="31" t="str">
        <x:v>待执行</x:v>
      </x:c>
      <x:c r="X83" s="31" t="str">
        <x:v>待执行</x:v>
      </x:c>
      <x:c r="Y83" s="31" t="str">
        <x:v>待执行</x:v>
      </x:c>
      <x:c r="Z83" s="31" t="str">
        <x:v>待执行</x:v>
      </x:c>
      <x:c r="AA83" s="33"/>
      <x:c r="AB83" s="29" t="str"/>
    </x:row>
    <x:row r="84" ht="42" customHeight="1">
      <x:c r="A84" s="31" t="n">
        <x:v>79</x:v>
      </x:c>
      <x:c r="B84" s="31" t="str">
        <x:v>S4-007</x:v>
      </x:c>
      <x:c r="C84" s="31" t="str">
        <x:v>阶段4：采购与交付闭环</x:v>
      </x:c>
      <x:c r="D84" s="31" t="str">
        <x:v>V1.0基线</x:v>
      </x:c>
      <x:c r="E84" s="31" t="str">
        <x:v>采购协同</x:v>
      </x:c>
      <x:c r="F84" s="31" t="str">
        <x:v>分配发布</x:v>
      </x:c>
      <x:c r="G84" s="31" t="str">
        <x:v>实际分配确认与G4发布</x:v>
      </x:c>
      <x:c r="H84" s="31" t="str">
        <x:v>功能</x:v>
      </x:c>
      <x:c r="I84" s="29" t="str">
        <x:v>procurement/allocation</x:v>
      </x:c>
      <x:c r="J84" s="29" t="str">
        <x:v>支持人工调整、原因、审批、发布、撤回和各供应商分配数量。</x:v>
      </x:c>
      <x:c r="K84" s="29" t="str">
        <x:v>定标份额、供应配额和实际分配分离；发布时校验状态、范围和能力。</x:v>
      </x:c>
      <x:c r="L84" s="29" t="str">
        <x:v>S4-006,S1-009</x:v>
      </x:c>
      <x:c r="M84" s="31" t="str">
        <x:v>P0</x:v>
      </x:c>
      <x:c r="N84" s="31" t="str">
        <x:v>XL</x:v>
      </x:c>
      <x:c r="O84" s="31" t="str">
        <x:v>开发Agent</x:v>
      </x:c>
      <x:c r="P84" s="31" t="str">
        <x:v>I11</x:v>
      </x:c>
      <x:c r="Q84" s="31" t="str">
        <x:v>S4-A 需求分配</x:v>
      </x:c>
      <x:c r="R84" s="33"/>
      <x:c r="S84" s="33"/>
      <x:c r="T84" s="31" t="str">
        <x:v>未开始</x:v>
      </x:c>
      <x:c r="U84" s="29" t="str">
        <x:v>实际分配确认与G4发布前后端功能、数据库迁移、权限点、接口及测试用例</x:v>
      </x:c>
      <x:c r="V84" s="29" t="str">
        <x:v>主路径可运行；权限、状态、异常、版本和审计校验通过；构建无错误</x:v>
      </x:c>
      <x:c r="W84" s="31" t="str">
        <x:v>待执行</x:v>
      </x:c>
      <x:c r="X84" s="31" t="str">
        <x:v>待执行</x:v>
      </x:c>
      <x:c r="Y84" s="31" t="str">
        <x:v>待执行</x:v>
      </x:c>
      <x:c r="Z84" s="31" t="str">
        <x:v>待执行</x:v>
      </x:c>
      <x:c r="AA84" s="33"/>
      <x:c r="AB84" s="29" t="str"/>
    </x:row>
    <x:row r="85" ht="42" customHeight="1">
      <x:c r="A85" s="31" t="n">
        <x:v>80</x:v>
      </x:c>
      <x:c r="B85" s="31" t="str">
        <x:v>S4-008</x:v>
      </x:c>
      <x:c r="C85" s="31" t="str">
        <x:v>阶段4：采购与交付闭环</x:v>
      </x:c>
      <x:c r="D85" s="31" t="str">
        <x:v>V1.0基线</x:v>
      </x:c>
      <x:c r="E85" s="31" t="str">
        <x:v>采购协同</x:v>
      </x:c>
      <x:c r="F85" s="31" t="str">
        <x:v>分配快照</x:v>
      </x:c>
      <x:c r="G85" s="31" t="str">
        <x:v>分配快照与份额偏差</x:v>
      </x:c>
      <x:c r="H85" s="31" t="str">
        <x:v>功能</x:v>
      </x:c>
      <x:c r="I85" s="29" t="str">
        <x:v>procurement/allocation</x:v>
      </x:c>
      <x:c r="J85" s="29" t="str">
        <x:v>保存供应源、资格、价格、规则和人工调整快照，展示目标/累计/本次份额偏差。</x:v>
      </x:c>
      <x:c r="K85" s="29" t="str">
        <x:v>历史分配可解释；后续供应源变更不改写快照。</x:v>
      </x:c>
      <x:c r="L85" s="29" t="str">
        <x:v>S4-007</x:v>
      </x:c>
      <x:c r="M85" s="31" t="str">
        <x:v>P0</x:v>
      </x:c>
      <x:c r="N85" s="31" t="str">
        <x:v>L</x:v>
      </x:c>
      <x:c r="O85" s="31" t="str">
        <x:v>开发Agent</x:v>
      </x:c>
      <x:c r="P85" s="31" t="str">
        <x:v>I11</x:v>
      </x:c>
      <x:c r="Q85" s="31" t="str">
        <x:v>S4-A 需求分配</x:v>
      </x:c>
      <x:c r="R85" s="33"/>
      <x:c r="S85" s="33"/>
      <x:c r="T85" s="31" t="str">
        <x:v>未开始</x:v>
      </x:c>
      <x:c r="U85" s="29" t="str">
        <x:v>分配快照与份额偏差前后端功能、数据库迁移、权限点、接口及测试用例</x:v>
      </x:c>
      <x:c r="V85" s="29" t="str">
        <x:v>主路径可运行；权限、状态、异常、版本和审计校验通过；构建无错误</x:v>
      </x:c>
      <x:c r="W85" s="31" t="str">
        <x:v>待执行</x:v>
      </x:c>
      <x:c r="X85" s="31" t="str">
        <x:v>待执行</x:v>
      </x:c>
      <x:c r="Y85" s="31" t="str">
        <x:v>待执行</x:v>
      </x:c>
      <x:c r="Z85" s="31" t="str">
        <x:v>待执行</x:v>
      </x:c>
      <x:c r="AA85" s="33"/>
      <x:c r="AB85" s="29" t="str"/>
    </x:row>
    <x:row r="86" ht="42" customHeight="1">
      <x:c r="A86" s="31" t="n">
        <x:v>81</x:v>
      </x:c>
      <x:c r="B86" s="31" t="str">
        <x:v>S4-009</x:v>
      </x:c>
      <x:c r="C86" s="31" t="str">
        <x:v>阶段4：采购与交付闭环</x:v>
      </x:c>
      <x:c r="D86" s="31" t="str">
        <x:v>V1.0基线</x:v>
      </x:c>
      <x:c r="E86" s="31" t="str">
        <x:v>采购协同</x:v>
      </x:c>
      <x:c r="F86" s="31" t="str">
        <x:v>PO模式</x:v>
      </x:c>
      <x:c r="G86" s="31" t="str">
        <x:v>PO权威模式配置</x:v>
      </x:c>
      <x:c r="H86" s="31" t="str">
        <x:v>功能</x:v>
      </x:c>
      <x:c r="I86" s="29" t="str">
        <x:v>procurement/po</x:v>
      </x:c>
      <x:c r="J86" s="29" t="str">
        <x:v>按已决策模式配置SRM原生PO或ERP正式PO映射、编号和审批路径。</x:v>
      </x:c>
      <x:c r="K86" s="29" t="str">
        <x:v>模式切换不改变订单、行、版本和供应商响应的业务语义。</x:v>
      </x:c>
      <x:c r="L86" s="29" t="str">
        <x:v>S4-007,D-001</x:v>
      </x:c>
      <x:c r="M86" s="31" t="str">
        <x:v>P0</x:v>
      </x:c>
      <x:c r="N86" s="31" t="str">
        <x:v>L</x:v>
      </x:c>
      <x:c r="O86" s="31" t="str">
        <x:v>开发Agent</x:v>
      </x:c>
      <x:c r="P86" s="31" t="str">
        <x:v>I11</x:v>
      </x:c>
      <x:c r="Q86" s="31" t="str">
        <x:v>S4-B PO协同</x:v>
      </x:c>
      <x:c r="R86" s="33"/>
      <x:c r="S86" s="33"/>
      <x:c r="T86" s="31" t="str">
        <x:v>未开始</x:v>
      </x:c>
      <x:c r="U86" s="29" t="str">
        <x:v>PO权威模式配置前后端功能、数据库迁移、权限点、接口及测试用例</x:v>
      </x:c>
      <x:c r="V86" s="29" t="str">
        <x:v>主路径可运行；权限、状态、异常、版本和审计校验通过；构建无错误</x:v>
      </x:c>
      <x:c r="W86" s="31" t="str">
        <x:v>待执行</x:v>
      </x:c>
      <x:c r="X86" s="31" t="str">
        <x:v>待执行</x:v>
      </x:c>
      <x:c r="Y86" s="31" t="str">
        <x:v>待执行</x:v>
      </x:c>
      <x:c r="Z86" s="31" t="str">
        <x:v>待执行</x:v>
      </x:c>
      <x:c r="AA86" s="33"/>
      <x:c r="AB86" s="29" t="str"/>
    </x:row>
    <x:row r="87" ht="42" customHeight="1">
      <x:c r="A87" s="31" t="n">
        <x:v>82</x:v>
      </x:c>
      <x:c r="B87" s="31" t="str">
        <x:v>S4-010</x:v>
      </x:c>
      <x:c r="C87" s="31" t="str">
        <x:v>阶段4：采购与交付闭环</x:v>
      </x:c>
      <x:c r="D87" s="31" t="str">
        <x:v>V1.0基线</x:v>
      </x:c>
      <x:c r="E87" s="31" t="str">
        <x:v>采购协同</x:v>
      </x:c>
      <x:c r="F87" s="31" t="str">
        <x:v>采购指令</x:v>
      </x:c>
      <x:c r="G87" s="31" t="str">
        <x:v>采购指令或原生PO生成</x:v>
      </x:c>
      <x:c r="H87" s="31" t="str">
        <x:v>集成</x:v>
      </x:c>
      <x:c r="I87" s="29" t="str">
        <x:v>procurement/po</x:v>
      </x:c>
      <x:c r="J87" s="29" t="str">
        <x:v>由已发布分配生成批准采购指令，调用ERP或创建SRM原生PO。</x:v>
      </x:c>
      <x:c r="K87" s="29" t="str">
        <x:v>G5最终重校验供应源、依据、价格、数量、工厂和审批。</x:v>
      </x:c>
      <x:c r="L87" s="29" t="str">
        <x:v>S4-008,S4-009,S3-017</x:v>
      </x:c>
      <x:c r="M87" s="31" t="str">
        <x:v>P0</x:v>
      </x:c>
      <x:c r="N87" s="31" t="str">
        <x:v>XL</x:v>
      </x:c>
      <x:c r="O87" s="31" t="str">
        <x:v>开发Agent</x:v>
      </x:c>
      <x:c r="P87" s="31" t="str">
        <x:v>I11</x:v>
      </x:c>
      <x:c r="Q87" s="31" t="str">
        <x:v>S4-B PO协同</x:v>
      </x:c>
      <x:c r="R87" s="33"/>
      <x:c r="S87" s="33"/>
      <x:c r="T87" s="31" t="str">
        <x:v>未开始</x:v>
      </x:c>
      <x:c r="U87" s="29" t="str">
        <x:v>采购指令或原生PO生成接口契约、实现、幂等/补偿与联调用例</x:v>
      </x:c>
      <x:c r="V87" s="29" t="str">
        <x:v>主流程、重复、乱序、失败重试和对账场景通过；业务状态不被接口失败误改</x:v>
      </x:c>
      <x:c r="W87" s="31" t="str">
        <x:v>待执行</x:v>
      </x:c>
      <x:c r="X87" s="31" t="str">
        <x:v>待执行</x:v>
      </x:c>
      <x:c r="Y87" s="31" t="str">
        <x:v>待执行</x:v>
      </x:c>
      <x:c r="Z87" s="31" t="str">
        <x:v>待执行</x:v>
      </x:c>
      <x:c r="AA87" s="33"/>
      <x:c r="AB87" s="29" t="str"/>
    </x:row>
    <x:row r="88" ht="42" customHeight="1">
      <x:c r="A88" s="31" t="n">
        <x:v>83</x:v>
      </x:c>
      <x:c r="B88" s="31" t="str">
        <x:v>S4-011</x:v>
      </x:c>
      <x:c r="C88" s="31" t="str">
        <x:v>阶段4：采购与交付闭环</x:v>
      </x:c>
      <x:c r="D88" s="31" t="str">
        <x:v>V1.0基线</x:v>
      </x:c>
      <x:c r="E88" s="31" t="str">
        <x:v>采购协同</x:v>
      </x:c>
      <x:c r="F88" s="31" t="str">
        <x:v>PO同步</x:v>
      </x:c>
      <x:c r="G88" s="31" t="str">
        <x:v>正式PO映射版本与状态同步</x:v>
      </x:c>
      <x:c r="H88" s="31" t="str">
        <x:v>集成</x:v>
      </x:c>
      <x:c r="I88" s="29" t="str">
        <x:v>procurement/po-integration</x:v>
      </x:c>
      <x:c r="J88" s="29" t="str">
        <x:v>同步PO头/行/计划行、正式编号、版本、状态、取消和变更。</x:v>
      </x:c>
      <x:c r="K88" s="29" t="str">
        <x:v>接口状态独立；幂等、乱序和日终对账有效。</x:v>
      </x:c>
      <x:c r="L88" s="29" t="str">
        <x:v>S4-010,S1-019</x:v>
      </x:c>
      <x:c r="M88" s="31" t="str">
        <x:v>P0</x:v>
      </x:c>
      <x:c r="N88" s="31" t="str">
        <x:v>XL</x:v>
      </x:c>
      <x:c r="O88" s="31" t="str">
        <x:v>开发Agent</x:v>
      </x:c>
      <x:c r="P88" s="31" t="str">
        <x:v>I11</x:v>
      </x:c>
      <x:c r="Q88" s="31" t="str">
        <x:v>S4-B PO协同</x:v>
      </x:c>
      <x:c r="R88" s="33"/>
      <x:c r="S88" s="33"/>
      <x:c r="T88" s="31" t="str">
        <x:v>未开始</x:v>
      </x:c>
      <x:c r="U88" s="29" t="str">
        <x:v>正式PO映射版本与状态同步接口契约、实现、幂等/补偿与联调用例</x:v>
      </x:c>
      <x:c r="V88" s="29" t="str">
        <x:v>主流程、重复、乱序、失败重试和对账场景通过；业务状态不被接口失败误改</x:v>
      </x:c>
      <x:c r="W88" s="31" t="str">
        <x:v>待执行</x:v>
      </x:c>
      <x:c r="X88" s="31" t="str">
        <x:v>待执行</x:v>
      </x:c>
      <x:c r="Y88" s="31" t="str">
        <x:v>待执行</x:v>
      </x:c>
      <x:c r="Z88" s="31" t="str">
        <x:v>待执行</x:v>
      </x:c>
      <x:c r="AA88" s="33"/>
      <x:c r="AB88" s="29" t="str"/>
    </x:row>
    <x:row r="89" ht="42" customHeight="1">
      <x:c r="A89" s="31" t="n">
        <x:v>84</x:v>
      </x:c>
      <x:c r="B89" s="31" t="str">
        <x:v>S4-012</x:v>
      </x:c>
      <x:c r="C89" s="31" t="str">
        <x:v>阶段4：采购与交付闭环</x:v>
      </x:c>
      <x:c r="D89" s="31" t="str">
        <x:v>V1.0基线</x:v>
      </x:c>
      <x:c r="E89" s="31" t="str">
        <x:v>采购协同</x:v>
      </x:c>
      <x:c r="F89" s="31" t="str">
        <x:v>PO发布</x:v>
      </x:c>
      <x:c r="G89" s="31" t="str">
        <x:v>供应商可见PO发布</x:v>
      </x:c>
      <x:c r="H89" s="31" t="str">
        <x:v>功能</x:v>
      </x:c>
      <x:c r="I89" s="29" t="str">
        <x:v>procurement/po-portal</x:v>
      </x:c>
      <x:c r="J89" s="29" t="str">
        <x:v>向正确供应商站点发布可见PO版本、附件、确认要求和截止时间。</x:v>
      </x:c>
      <x:c r="K89" s="29" t="str">
        <x:v>字段级脱敏；供应商只能看本主体/站点；旧版本不可继续响应。</x:v>
      </x:c>
      <x:c r="L89" s="29" t="str">
        <x:v>S4-011,S2-006,S2-014</x:v>
      </x:c>
      <x:c r="M89" s="31" t="str">
        <x:v>P0</x:v>
      </x:c>
      <x:c r="N89" s="31" t="str">
        <x:v>L</x:v>
      </x:c>
      <x:c r="O89" s="31" t="str">
        <x:v>开发Agent</x:v>
      </x:c>
      <x:c r="P89" s="31" t="str">
        <x:v>I11</x:v>
      </x:c>
      <x:c r="Q89" s="31" t="str">
        <x:v>S4-B PO协同</x:v>
      </x:c>
      <x:c r="R89" s="33"/>
      <x:c r="S89" s="33"/>
      <x:c r="T89" s="31" t="str">
        <x:v>未开始</x:v>
      </x:c>
      <x:c r="U89" s="29" t="str">
        <x:v>供应商可见PO发布前后端功能、数据库迁移、权限点、接口及测试用例</x:v>
      </x:c>
      <x:c r="V89" s="29" t="str">
        <x:v>主路径可运行；权限、状态、异常、版本和审计校验通过；构建无错误</x:v>
      </x:c>
      <x:c r="W89" s="31" t="str">
        <x:v>待执行</x:v>
      </x:c>
      <x:c r="X89" s="31" t="str">
        <x:v>待执行</x:v>
      </x:c>
      <x:c r="Y89" s="31" t="str">
        <x:v>待执行</x:v>
      </x:c>
      <x:c r="Z89" s="31" t="str">
        <x:v>待执行</x:v>
      </x:c>
      <x:c r="AA89" s="33"/>
      <x:c r="AB89" s="29" t="str"/>
    </x:row>
    <x:row r="90" ht="42" customHeight="1">
      <x:c r="A90" s="31" t="n">
        <x:v>85</x:v>
      </x:c>
      <x:c r="B90" s="31" t="str">
        <x:v>S4-013</x:v>
      </x:c>
      <x:c r="C90" s="31" t="str">
        <x:v>阶段4：采购与交付闭环</x:v>
      </x:c>
      <x:c r="D90" s="31" t="str">
        <x:v>V1.0基线</x:v>
      </x:c>
      <x:c r="E90" s="31" t="str">
        <x:v>采购协同</x:v>
      </x:c>
      <x:c r="F90" s="31" t="str">
        <x:v>订单承诺</x:v>
      </x:c>
      <x:c r="G90" s="31" t="str">
        <x:v>供应商订单确认与承诺</x:v>
      </x:c>
      <x:c r="H90" s="31" t="str">
        <x:v>功能</x:v>
      </x:c>
      <x:c r="I90" s="29" t="str">
        <x:v>procurement/commitment</x:v>
      </x:c>
      <x:c r="J90" s="29" t="str">
        <x:v>供应商按行/计划行接受或提交数量、日期、原因和备注差异。</x:v>
      </x:c>
      <x:c r="K90" s="29" t="str">
        <x:v>供应商不得修改正式PO；承诺是独立版本化响应。</x:v>
      </x:c>
      <x:c r="L90" s="29" t="str">
        <x:v>S4-012</x:v>
      </x:c>
      <x:c r="M90" s="31" t="str">
        <x:v>P0</x:v>
      </x:c>
      <x:c r="N90" s="31" t="str">
        <x:v>XL</x:v>
      </x:c>
      <x:c r="O90" s="31" t="str">
        <x:v>开发Agent</x:v>
      </x:c>
      <x:c r="P90" s="31" t="str">
        <x:v>I12</x:v>
      </x:c>
      <x:c r="Q90" s="31" t="str">
        <x:v>S4-B PO协同</x:v>
      </x:c>
      <x:c r="R90" s="33"/>
      <x:c r="S90" s="33"/>
      <x:c r="T90" s="31" t="str">
        <x:v>未开始</x:v>
      </x:c>
      <x:c r="U90" s="29" t="str">
        <x:v>供应商订单确认与承诺前后端功能、数据库迁移、权限点、接口及测试用例</x:v>
      </x:c>
      <x:c r="V90" s="29" t="str">
        <x:v>主路径可运行；权限、状态、异常、版本和审计校验通过；构建无错误</x:v>
      </x:c>
      <x:c r="W90" s="31" t="str">
        <x:v>待执行</x:v>
      </x:c>
      <x:c r="X90" s="31" t="str">
        <x:v>待执行</x:v>
      </x:c>
      <x:c r="Y90" s="31" t="str">
        <x:v>待执行</x:v>
      </x:c>
      <x:c r="Z90" s="31" t="str">
        <x:v>待执行</x:v>
      </x:c>
      <x:c r="AA90" s="33"/>
      <x:c r="AB90" s="29" t="str"/>
    </x:row>
    <x:row r="91" ht="42" customHeight="1">
      <x:c r="A91" s="31" t="n">
        <x:v>86</x:v>
      </x:c>
      <x:c r="B91" s="31" t="str">
        <x:v>S4-014</x:v>
      </x:c>
      <x:c r="C91" s="31" t="str">
        <x:v>阶段4：采购与交付闭环</x:v>
      </x:c>
      <x:c r="D91" s="31" t="str">
        <x:v>V1.0基线</x:v>
      </x:c>
      <x:c r="E91" s="31" t="str">
        <x:v>采购协同</x:v>
      </x:c>
      <x:c r="F91" s="31" t="str">
        <x:v>差异协调</x:v>
      </x:c>
      <x:c r="G91" s="31" t="str">
        <x:v>PO差异协商与采购确认</x:v>
      </x:c>
      <x:c r="H91" s="31" t="str">
        <x:v>功能</x:v>
      </x:c>
      <x:c r="I91" s="29" t="str">
        <x:v>procurement/commitment</x:v>
      </x:c>
      <x:c r="J91" s="29" t="str">
        <x:v>采购方接受、拒绝、协商或发起变更，形成最终确认和任务闭环。</x:v>
      </x:c>
      <x:c r="K91" s="29" t="str">
        <x:v>承诺晚于需求日期自动预警；差异关闭依据清晰。</x:v>
      </x:c>
      <x:c r="L91" s="29" t="str">
        <x:v>S4-013,S1-010</x:v>
      </x:c>
      <x:c r="M91" s="31" t="str">
        <x:v>P0</x:v>
      </x:c>
      <x:c r="N91" s="31" t="str">
        <x:v>L</x:v>
      </x:c>
      <x:c r="O91" s="31" t="str">
        <x:v>开发Agent</x:v>
      </x:c>
      <x:c r="P91" s="31" t="str">
        <x:v>I12</x:v>
      </x:c>
      <x:c r="Q91" s="31" t="str">
        <x:v>S4-B PO协同</x:v>
      </x:c>
      <x:c r="R91" s="33"/>
      <x:c r="S91" s="33"/>
      <x:c r="T91" s="31" t="str">
        <x:v>未开始</x:v>
      </x:c>
      <x:c r="U91" s="29" t="str">
        <x:v>PO差异协商与采购确认前后端功能、数据库迁移、权限点、接口及测试用例</x:v>
      </x:c>
      <x:c r="V91" s="29" t="str">
        <x:v>主路径可运行；权限、状态、异常、版本和审计校验通过；构建无错误</x:v>
      </x:c>
      <x:c r="W91" s="31" t="str">
        <x:v>待执行</x:v>
      </x:c>
      <x:c r="X91" s="31" t="str">
        <x:v>待执行</x:v>
      </x:c>
      <x:c r="Y91" s="31" t="str">
        <x:v>待执行</x:v>
      </x:c>
      <x:c r="Z91" s="31" t="str">
        <x:v>待执行</x:v>
      </x:c>
      <x:c r="AA91" s="33"/>
      <x:c r="AB91" s="29" t="str"/>
    </x:row>
    <x:row r="92" ht="42" customHeight="1">
      <x:c r="A92" s="31" t="n">
        <x:v>87</x:v>
      </x:c>
      <x:c r="B92" s="31" t="str">
        <x:v>S4-015</x:v>
      </x:c>
      <x:c r="C92" s="31" t="str">
        <x:v>阶段4：采购与交付闭环</x:v>
      </x:c>
      <x:c r="D92" s="31" t="str">
        <x:v>V1.0基线</x:v>
      </x:c>
      <x:c r="E92" s="31" t="str">
        <x:v>采购协同</x:v>
      </x:c>
      <x:c r="F92" s="31" t="str">
        <x:v>订单变更</x:v>
      </x:c>
      <x:c r="G92" s="31" t="str">
        <x:v>PO变更取消与版本重确认</x:v>
      </x:c>
      <x:c r="H92" s="31" t="str">
        <x:v>功能</x:v>
      </x:c>
      <x:c r="I92" s="29" t="str">
        <x:v>procurement/po-change</x:v>
      </x:c>
      <x:c r="J92" s="29" t="str">
        <x:v>处理数量、价格、日期、工厂、地点和条款变更及部分/整单取消。</x:v>
      </x:c>
      <x:c r="K92" s="29" t="str">
        <x:v>不反向取消已发运/收货事实；受影响响应重新确认。</x:v>
      </x:c>
      <x:c r="L92" s="29" t="str">
        <x:v>S4-011:S4-014</x:v>
      </x:c>
      <x:c r="M92" s="31" t="str">
        <x:v>P0</x:v>
      </x:c>
      <x:c r="N92" s="31" t="str">
        <x:v>XL</x:v>
      </x:c>
      <x:c r="O92" s="31" t="str">
        <x:v>开发Agent</x:v>
      </x:c>
      <x:c r="P92" s="31" t="str">
        <x:v>I12</x:v>
      </x:c>
      <x:c r="Q92" s="31" t="str">
        <x:v>S4-B PO协同</x:v>
      </x:c>
      <x:c r="R92" s="33"/>
      <x:c r="S92" s="33"/>
      <x:c r="T92" s="31" t="str">
        <x:v>未开始</x:v>
      </x:c>
      <x:c r="U92" s="29" t="str">
        <x:v>PO变更取消与版本重确认前后端功能、数据库迁移、权限点、接口及测试用例</x:v>
      </x:c>
      <x:c r="V92" s="29" t="str">
        <x:v>主路径可运行；权限、状态、异常、版本和审计校验通过；构建无错误</x:v>
      </x:c>
      <x:c r="W92" s="31" t="str">
        <x:v>待执行</x:v>
      </x:c>
      <x:c r="X92" s="31" t="str">
        <x:v>待执行</x:v>
      </x:c>
      <x:c r="Y92" s="31" t="str">
        <x:v>待执行</x:v>
      </x:c>
      <x:c r="Z92" s="31" t="str">
        <x:v>待执行</x:v>
      </x:c>
      <x:c r="AA92" s="33"/>
      <x:c r="AB92" s="29" t="str"/>
    </x:row>
    <x:row r="93" ht="42" customHeight="1">
      <x:c r="A93" s="31" t="n">
        <x:v>88</x:v>
      </x:c>
      <x:c r="B93" s="31" t="str">
        <x:v>S4-016</x:v>
      </x:c>
      <x:c r="C93" s="31" t="str">
        <x:v>阶段4：采购与交付闭环</x:v>
      </x:c>
      <x:c r="D93" s="31" t="str">
        <x:v>V1.0基线</x:v>
      </x:c>
      <x:c r="E93" s="31" t="str">
        <x:v>交付与收货协同</x:v>
      </x:c>
      <x:c r="F93" s="31" t="str">
        <x:v>交付计划</x:v>
      </x:c>
      <x:c r="G93" s="31" t="str">
        <x:v>交付计划与可发运行</x:v>
      </x:c>
      <x:c r="H93" s="31" t="str">
        <x:v>功能</x:v>
      </x:c>
      <x:c r="I93" s="29" t="str">
        <x:v>delivery/schedule</x:v>
      </x:c>
      <x:c r="J93" s="29" t="str">
        <x:v>将PO计划行形成供应商交付视图，计算剩余和可发运数量。</x:v>
      </x:c>
      <x:c r="K93" s="29" t="str">
        <x:v>取消、变更、已发运和已收货实时影响可发运量。</x:v>
      </x:c>
      <x:c r="L93" s="29" t="str">
        <x:v>S4-013,S4-015</x:v>
      </x:c>
      <x:c r="M93" s="31" t="str">
        <x:v>P0</x:v>
      </x:c>
      <x:c r="N93" s="31" t="str">
        <x:v>L</x:v>
      </x:c>
      <x:c r="O93" s="31" t="str">
        <x:v>开发Agent</x:v>
      </x:c>
      <x:c r="P93" s="31" t="str">
        <x:v>I12</x:v>
      </x:c>
      <x:c r="Q93" s="31" t="str">
        <x:v>S4-C 交付收货</x:v>
      </x:c>
      <x:c r="R93" s="33"/>
      <x:c r="S93" s="33"/>
      <x:c r="T93" s="31" t="str">
        <x:v>未开始</x:v>
      </x:c>
      <x:c r="U93" s="29" t="str">
        <x:v>交付计划与可发运行前后端功能、数据库迁移、权限点、接口及测试用例</x:v>
      </x:c>
      <x:c r="V93" s="29" t="str">
        <x:v>主路径可运行；权限、状态、异常、版本和审计校验通过；构建无错误</x:v>
      </x:c>
      <x:c r="W93" s="31" t="str">
        <x:v>待执行</x:v>
      </x:c>
      <x:c r="X93" s="31" t="str">
        <x:v>待执行</x:v>
      </x:c>
      <x:c r="Y93" s="31" t="str">
        <x:v>待执行</x:v>
      </x:c>
      <x:c r="Z93" s="31" t="str">
        <x:v>待执行</x:v>
      </x:c>
      <x:c r="AA93" s="33"/>
      <x:c r="AB93" s="29" t="str"/>
    </x:row>
    <x:row r="94" ht="42" customHeight="1">
      <x:c r="A94" s="31" t="n">
        <x:v>89</x:v>
      </x:c>
      <x:c r="B94" s="31" t="str">
        <x:v>S4-017</x:v>
      </x:c>
      <x:c r="C94" s="31" t="str">
        <x:v>阶段4：采购与交付闭环</x:v>
      </x:c>
      <x:c r="D94" s="31" t="str">
        <x:v>V1.0基线</x:v>
      </x:c>
      <x:c r="E94" s="31" t="str">
        <x:v>交付与收货协同</x:v>
      </x:c>
      <x:c r="F94" s="31" t="str">
        <x:v>ASN</x:v>
      </x:c>
      <x:c r="G94" s="31" t="str">
        <x:v>供应商ASN创建提交</x:v>
      </x:c>
      <x:c r="H94" s="31" t="str">
        <x:v>功能</x:v>
      </x:c>
      <x:c r="I94" s="29" t="str">
        <x:v>delivery/asn</x:v>
      </x:c>
      <x:c r="J94" s="29" t="str">
        <x:v>支持按PO行创建ASN、批次、数量、预计到达、承运和必要附件。</x:v>
      </x:c>
      <x:c r="K94" s="29" t="str">
        <x:v>G6校验可发运量、容差、重复、批次、包装和质保资料。</x:v>
      </x:c>
      <x:c r="L94" s="29" t="str">
        <x:v>S4-016,S2-014</x:v>
      </x:c>
      <x:c r="M94" s="31" t="str">
        <x:v>P0</x:v>
      </x:c>
      <x:c r="N94" s="31" t="str">
        <x:v>XL</x:v>
      </x:c>
      <x:c r="O94" s="31" t="str">
        <x:v>开发Agent</x:v>
      </x:c>
      <x:c r="P94" s="31" t="str">
        <x:v>I12</x:v>
      </x:c>
      <x:c r="Q94" s="31" t="str">
        <x:v>S4-C 交付收货</x:v>
      </x:c>
      <x:c r="R94" s="33"/>
      <x:c r="S94" s="33"/>
      <x:c r="T94" s="31" t="str">
        <x:v>未开始</x:v>
      </x:c>
      <x:c r="U94" s="29" t="str">
        <x:v>供应商ASN创建提交前后端功能、数据库迁移、权限点、接口及测试用例</x:v>
      </x:c>
      <x:c r="V94" s="29" t="str">
        <x:v>主路径可运行；权限、状态、异常、版本和审计校验通过；构建无错误</x:v>
      </x:c>
      <x:c r="W94" s="31" t="str">
        <x:v>待执行</x:v>
      </x:c>
      <x:c r="X94" s="31" t="str">
        <x:v>待执行</x:v>
      </x:c>
      <x:c r="Y94" s="31" t="str">
        <x:v>待执行</x:v>
      </x:c>
      <x:c r="Z94" s="31" t="str">
        <x:v>待执行</x:v>
      </x:c>
      <x:c r="AA94" s="33"/>
      <x:c r="AB94" s="29" t="str"/>
    </x:row>
    <x:row r="95" ht="42" customHeight="1">
      <x:c r="A95" s="31" t="n">
        <x:v>90</x:v>
      </x:c>
      <x:c r="B95" s="31" t="str">
        <x:v>S4-018</x:v>
      </x:c>
      <x:c r="C95" s="31" t="str">
        <x:v>阶段4：采购与交付闭环</x:v>
      </x:c>
      <x:c r="D95" s="31" t="str">
        <x:v>V1.0基线</x:v>
      </x:c>
      <x:c r="E95" s="31" t="str">
        <x:v>交付与收货协同</x:v>
      </x:c>
      <x:c r="F95" s="31" t="str">
        <x:v>发运控制</x:v>
      </x:c>
      <x:c r="G95" s="31" t="str">
        <x:v>超发重复与可发运量控制</x:v>
      </x:c>
      <x:c r="H95" s="31" t="str">
        <x:v>功能</x:v>
      </x:c>
      <x:c r="I95" s="29" t="str">
        <x:v>delivery/asn</x:v>
      </x:c>
      <x:c r="J95" s="29" t="str">
        <x:v>集中计算提交/取消/发运/收货状态下的可发运量和容差。</x:v>
      </x:c>
      <x:c r="K95" s="29" t="str">
        <x:v>并发提交不可突破上限；失败回滚不占用额度。</x:v>
      </x:c>
      <x:c r="L95" s="29" t="str">
        <x:v>S4-017</x:v>
      </x:c>
      <x:c r="M95" s="31" t="str">
        <x:v>P0</x:v>
      </x:c>
      <x:c r="N95" s="31" t="str">
        <x:v>XL</x:v>
      </x:c>
      <x:c r="O95" s="31" t="str">
        <x:v>开发Agent</x:v>
      </x:c>
      <x:c r="P95" s="31" t="str">
        <x:v>I12</x:v>
      </x:c>
      <x:c r="Q95" s="31" t="str">
        <x:v>S4-C 交付收货</x:v>
      </x:c>
      <x:c r="R95" s="33"/>
      <x:c r="S95" s="33"/>
      <x:c r="T95" s="31" t="str">
        <x:v>未开始</x:v>
      </x:c>
      <x:c r="U95" s="29" t="str">
        <x:v>超发重复与可发运量控制前后端功能、数据库迁移、权限点、接口及测试用例</x:v>
      </x:c>
      <x:c r="V95" s="29" t="str">
        <x:v>主路径可运行；权限、状态、异常、版本和审计校验通过；构建无错误</x:v>
      </x:c>
      <x:c r="W95" s="31" t="str">
        <x:v>待执行</x:v>
      </x:c>
      <x:c r="X95" s="31" t="str">
        <x:v>待执行</x:v>
      </x:c>
      <x:c r="Y95" s="31" t="str">
        <x:v>待执行</x:v>
      </x:c>
      <x:c r="Z95" s="31" t="str">
        <x:v>待执行</x:v>
      </x:c>
      <x:c r="AA95" s="33"/>
      <x:c r="AB95" s="29" t="str"/>
    </x:row>
    <x:row r="96" ht="42" customHeight="1">
      <x:c r="A96" s="31" t="n">
        <x:v>91</x:v>
      </x:c>
      <x:c r="B96" s="31" t="str">
        <x:v>S4-019</x:v>
      </x:c>
      <x:c r="C96" s="31" t="str">
        <x:v>阶段4：采购与交付闭环</x:v>
      </x:c>
      <x:c r="D96" s="31" t="str">
        <x:v>V1.0基线</x:v>
      </x:c>
      <x:c r="E96" s="31" t="str">
        <x:v>交付与收货协同</x:v>
      </x:c>
      <x:c r="F96" s="31" t="str">
        <x:v>包装标签</x:v>
      </x:c>
      <x:c r="G96" s="31" t="str">
        <x:v>包装批次与标签</x:v>
      </x:c>
      <x:c r="H96" s="31" t="str">
        <x:v>功能</x:v>
      </x:c>
      <x:c r="I96" s="29" t="str">
        <x:v>delivery/packaging</x:v>
      </x:c>
      <x:c r="J96" s="29" t="str">
        <x:v>维护箱/托、批次/序列号、包装数量、标签生成/打印和关联追溯。</x:v>
      </x:c>
      <x:c r="K96" s="29" t="str">
        <x:v>包装合计与ASN一致；标签不暴露无关敏感信息。</x:v>
      </x:c>
      <x:c r="L96" s="29" t="str">
        <x:v>S4-017,S1-015</x:v>
      </x:c>
      <x:c r="M96" s="31" t="str">
        <x:v>P1</x:v>
      </x:c>
      <x:c r="N96" s="31" t="str">
        <x:v>L</x:v>
      </x:c>
      <x:c r="O96" s="31" t="str">
        <x:v>开发Agent</x:v>
      </x:c>
      <x:c r="P96" s="31" t="str">
        <x:v>I13</x:v>
      </x:c>
      <x:c r="Q96" s="31" t="str">
        <x:v>S4-C 交付收货</x:v>
      </x:c>
      <x:c r="R96" s="33"/>
      <x:c r="S96" s="33"/>
      <x:c r="T96" s="31" t="str">
        <x:v>未开始</x:v>
      </x:c>
      <x:c r="U96" s="29" t="str">
        <x:v>包装批次与标签前后端功能、数据库迁移、权限点、接口及测试用例</x:v>
      </x:c>
      <x:c r="V96" s="29" t="str">
        <x:v>主路径可运行；权限、状态、异常、版本和审计校验通过；构建无错误</x:v>
      </x:c>
      <x:c r="W96" s="31" t="str">
        <x:v>待执行</x:v>
      </x:c>
      <x:c r="X96" s="31" t="str">
        <x:v>待执行</x:v>
      </x:c>
      <x:c r="Y96" s="31" t="str">
        <x:v>待执行</x:v>
      </x:c>
      <x:c r="Z96" s="31" t="str">
        <x:v>待执行</x:v>
      </x:c>
      <x:c r="AA96" s="33"/>
      <x:c r="AB96" s="29" t="str"/>
    </x:row>
    <x:row r="97" ht="42" customHeight="1">
      <x:c r="A97" s="31" t="n">
        <x:v>92</x:v>
      </x:c>
      <x:c r="B97" s="31" t="str">
        <x:v>S4-020</x:v>
      </x:c>
      <x:c r="C97" s="31" t="str">
        <x:v>阶段4：采购与交付闭环</x:v>
      </x:c>
      <x:c r="D97" s="31" t="str">
        <x:v>V1.0基线</x:v>
      </x:c>
      <x:c r="E97" s="31" t="str">
        <x:v>交付与收货协同</x:v>
      </x:c>
      <x:c r="F97" s="31" t="str">
        <x:v>发运在途</x:v>
      </x:c>
      <x:c r="G97" s="31" t="str">
        <x:v>发运在途与预约</x:v>
      </x:c>
      <x:c r="H97" s="31" t="str">
        <x:v>功能</x:v>
      </x:c>
      <x:c r="I97" s="29" t="str">
        <x:v>delivery/shipment</x:v>
      </x:c>
      <x:c r="J97" s="29" t="str">
        <x:v>记录发运、承运、节点、预计到达、预约、车辆/单证和异常。</x:v>
      </x:c>
      <x:c r="K97" s="29" t="str">
        <x:v>长时间未更新、ETA延误和预约冲突进入预警/任务。</x:v>
      </x:c>
      <x:c r="L97" s="29" t="str">
        <x:v>S4-017,S4-019,S1-010</x:v>
      </x:c>
      <x:c r="M97" s="31" t="str">
        <x:v>P1</x:v>
      </x:c>
      <x:c r="N97" s="31" t="str">
        <x:v>L</x:v>
      </x:c>
      <x:c r="O97" s="31" t="str">
        <x:v>开发Agent</x:v>
      </x:c>
      <x:c r="P97" s="31" t="str">
        <x:v>I13</x:v>
      </x:c>
      <x:c r="Q97" s="31" t="str">
        <x:v>S4-C 交付收货</x:v>
      </x:c>
      <x:c r="R97" s="33"/>
      <x:c r="S97" s="33"/>
      <x:c r="T97" s="31" t="str">
        <x:v>未开始</x:v>
      </x:c>
      <x:c r="U97" s="29" t="str">
        <x:v>发运在途与预约前后端功能、数据库迁移、权限点、接口及测试用例</x:v>
      </x:c>
      <x:c r="V97" s="29" t="str">
        <x:v>主路径可运行；权限、状态、异常、版本和审计校验通过；构建无错误</x:v>
      </x:c>
      <x:c r="W97" s="31" t="str">
        <x:v>待执行</x:v>
      </x:c>
      <x:c r="X97" s="31" t="str">
        <x:v>待执行</x:v>
      </x:c>
      <x:c r="Y97" s="31" t="str">
        <x:v>待执行</x:v>
      </x:c>
      <x:c r="Z97" s="31" t="str">
        <x:v>待执行</x:v>
      </x:c>
      <x:c r="AA97" s="33"/>
      <x:c r="AB97" s="29" t="str"/>
    </x:row>
    <x:row r="98" ht="42" customHeight="1">
      <x:c r="A98" s="31" t="n">
        <x:v>93</x:v>
      </x:c>
      <x:c r="B98" s="31" t="str">
        <x:v>S4-021</x:v>
      </x:c>
      <x:c r="C98" s="31" t="str">
        <x:v>阶段4：采购与交付闭环</x:v>
      </x:c>
      <x:c r="D98" s="31" t="str">
        <x:v>V1.0基线</x:v>
      </x:c>
      <x:c r="E98" s="31" t="str">
        <x:v>交付与收货协同</x:v>
      </x:c>
      <x:c r="F98" s="31" t="str">
        <x:v>收货反馈</x:v>
      </x:c>
      <x:c r="G98" s="31" t="str">
        <x:v>到货收货结果与数量差异</x:v>
      </x:c>
      <x:c r="H98" s="31" t="str">
        <x:v>集成</x:v>
      </x:c>
      <x:c r="I98" s="29" t="str">
        <x:v>delivery/receipt</x:v>
      </x:c>
      <x:c r="J98" s="29" t="str">
        <x:v>接收WMS/ERP或人工录入到货、收货、拒收、短少、超收、破损和错料。</x:v>
      </x:c>
      <x:c r="K98" s="29" t="str">
        <x:v>收货过账权威边界明确；PO-ASN-收货数量可追溯。</x:v>
      </x:c>
      <x:c r="L98" s="29" t="str">
        <x:v>S4-017,S4-018,D-001</x:v>
      </x:c>
      <x:c r="M98" s="31" t="str">
        <x:v>P0</x:v>
      </x:c>
      <x:c r="N98" s="31" t="str">
        <x:v>XL</x:v>
      </x:c>
      <x:c r="O98" s="31" t="str">
        <x:v>开发Agent</x:v>
      </x:c>
      <x:c r="P98" s="31" t="str">
        <x:v>I13</x:v>
      </x:c>
      <x:c r="Q98" s="31" t="str">
        <x:v>S4-C 交付收货</x:v>
      </x:c>
      <x:c r="R98" s="33"/>
      <x:c r="S98" s="33"/>
      <x:c r="T98" s="31" t="str">
        <x:v>未开始</x:v>
      </x:c>
      <x:c r="U98" s="29" t="str">
        <x:v>到货收货结果与数量差异接口契约、实现、幂等/补偿与联调用例</x:v>
      </x:c>
      <x:c r="V98" s="29" t="str">
        <x:v>主流程、重复、乱序、失败重试和对账场景通过；业务状态不被接口失败误改</x:v>
      </x:c>
      <x:c r="W98" s="31" t="str">
        <x:v>待执行</x:v>
      </x:c>
      <x:c r="X98" s="31" t="str">
        <x:v>待执行</x:v>
      </x:c>
      <x:c r="Y98" s="31" t="str">
        <x:v>待执行</x:v>
      </x:c>
      <x:c r="Z98" s="31" t="str">
        <x:v>待执行</x:v>
      </x:c>
      <x:c r="AA98" s="33"/>
      <x:c r="AB98" s="29" t="str"/>
    </x:row>
    <x:row r="99" ht="42" customHeight="1">
      <x:c r="A99" s="31" t="n">
        <x:v>94</x:v>
      </x:c>
      <x:c r="B99" s="31" t="str">
        <x:v>S4-022</x:v>
      </x:c>
      <x:c r="C99" s="31" t="str">
        <x:v>阶段4：采购与交付闭环</x:v>
      </x:c>
      <x:c r="D99" s="31" t="str">
        <x:v>V1.0基线</x:v>
      </x:c>
      <x:c r="E99" s="31" t="str">
        <x:v>交付与收货协同</x:v>
      </x:c>
      <x:c r="F99" s="31" t="str">
        <x:v>退货异常</x:v>
      </x:c>
      <x:c r="G99" s="31" t="str">
        <x:v>退货发运与交付异常闭环</x:v>
      </x:c>
      <x:c r="H99" s="31" t="str">
        <x:v>功能</x:v>
      </x:c>
      <x:c r="I99" s="29" t="str">
        <x:v>delivery/exception</x:v>
      </x:c>
      <x:c r="J99" s="29" t="str">
        <x:v>形成退货通知、供应商确认、退回发运、签收、补货和交付异常任务。</x:v>
      </x:c>
      <x:c r="K99" s="29" t="str">
        <x:v>异常有责任、截止、证据和关闭结果；影响结算数量。</x:v>
      </x:c>
      <x:c r="L99" s="29" t="str">
        <x:v>S4-021,S1-010</x:v>
      </x:c>
      <x:c r="M99" s="31" t="str">
        <x:v>P0</x:v>
      </x:c>
      <x:c r="N99" s="31" t="str">
        <x:v>L</x:v>
      </x:c>
      <x:c r="O99" s="31" t="str">
        <x:v>开发Agent</x:v>
      </x:c>
      <x:c r="P99" s="31" t="str">
        <x:v>I13</x:v>
      </x:c>
      <x:c r="Q99" s="31" t="str">
        <x:v>S4-C 交付收货</x:v>
      </x:c>
      <x:c r="R99" s="33"/>
      <x:c r="S99" s="33"/>
      <x:c r="T99" s="31" t="str">
        <x:v>未开始</x:v>
      </x:c>
      <x:c r="U99" s="29" t="str">
        <x:v>退货发运与交付异常闭环前后端功能、数据库迁移、权限点、接口及测试用例</x:v>
      </x:c>
      <x:c r="V99" s="29" t="str">
        <x:v>主路径可运行；权限、状态、异常、版本和审计校验通过；构建无错误</x:v>
      </x:c>
      <x:c r="W99" s="31" t="str">
        <x:v>待执行</x:v>
      </x:c>
      <x:c r="X99" s="31" t="str">
        <x:v>待执行</x:v>
      </x:c>
      <x:c r="Y99" s="31" t="str">
        <x:v>待执行</x:v>
      </x:c>
      <x:c r="Z99" s="31" t="str">
        <x:v>待执行</x:v>
      </x:c>
      <x:c r="AA99" s="33"/>
      <x:c r="AB99" s="29" t="str"/>
    </x:row>
    <x:row r="100" ht="42" customHeight="1">
      <x:c r="A100" s="31" t="n">
        <x:v>95</x:v>
      </x:c>
      <x:c r="B100" s="31" t="str">
        <x:v>S4-023</x:v>
      </x:c>
      <x:c r="C100" s="31" t="str">
        <x:v>阶段4：采购与交付闭环</x:v>
      </x:c>
      <x:c r="D100" s="31" t="str">
        <x:v>V1.0基线</x:v>
      </x:c>
      <x:c r="E100" s="31" t="str">
        <x:v>端到端验收</x:v>
      </x:c>
      <x:c r="F100" s="31" t="str">
        <x:v>采购交付</x:v>
      </x:c>
      <x:c r="G100" s="31" t="str">
        <x:v>已有供应源需求到收货场景</x:v>
      </x:c>
      <x:c r="H100" s="31" t="str">
        <x:v>测试</x:v>
      </x:c>
      <x:c r="I100" s="29" t="str">
        <x:v>tests/e2e-procure</x:v>
      </x:c>
      <x:c r="J100" s="29" t="str">
        <x:v>验证需求接收、匹配、分配、PO、确认、变更、ASN、在途、收货和退货。</x:v>
      </x:c>
      <x:c r="K100" s="29" t="str">
        <x:v>覆盖部分缺口、多供应商、拒绝PO、晚交、超发、重复ASN、短收和旧版本负向用例。</x:v>
      </x:c>
      <x:c r="L100" s="29" t="str">
        <x:v>S4-001:S4-022</x:v>
      </x:c>
      <x:c r="M100" s="31" t="str">
        <x:v>P0</x:v>
      </x:c>
      <x:c r="N100" s="31" t="str">
        <x:v>XL</x:v>
      </x:c>
      <x:c r="O100" s="31" t="str">
        <x:v>Codex复核/用户验收</x:v>
      </x:c>
      <x:c r="P100" s="31" t="str">
        <x:v>I13</x:v>
      </x:c>
      <x:c r="Q100" s="31" t="str">
        <x:v>S4-D 阶段验收</x:v>
      </x:c>
      <x:c r="R100" s="33"/>
      <x:c r="S100" s="33"/>
      <x:c r="T100" s="31" t="str">
        <x:v>未开始</x:v>
      </x:c>
      <x:c r="U100" s="29" t="str">
        <x:v>已有供应源需求到收货场景测试脚本、缺陷清单与报告</x:v>
      </x:c>
      <x:c r="V100" s="29" t="str">
        <x:v>正向、负向、越权和异常场景通过；P0/P1缺陷关闭</x:v>
      </x:c>
      <x:c r="W100" s="31" t="str">
        <x:v>待执行</x:v>
      </x:c>
      <x:c r="X100" s="31" t="str">
        <x:v>待执行</x:v>
      </x:c>
      <x:c r="Y100" s="31" t="str">
        <x:v>待执行</x:v>
      </x:c>
      <x:c r="Z100" s="31" t="str">
        <x:v>不适用</x:v>
      </x:c>
      <x:c r="AA100" s="33"/>
      <x:c r="AB100" s="29" t="str"/>
    </x:row>
    <x:row r="101" ht="42" customHeight="1">
      <x:c r="A101" s="31" t="n">
        <x:v>96</x:v>
      </x:c>
      <x:c r="B101" s="31" t="str">
        <x:v>S5-001</x:v>
      </x:c>
      <x:c r="C101" s="31" t="str">
        <x:v>阶段5：质量与结算闭环</x:v>
      </x:c>
      <x:c r="D101" s="31" t="str">
        <x:v>V1.0基线</x:v>
      </x:c>
      <x:c r="E101" s="31" t="str">
        <x:v>供应商质量管理</x:v>
      </x:c>
      <x:c r="F101" s="31" t="str">
        <x:v>体系审核</x:v>
      </x:c>
      <x:c r="G101" s="31" t="str">
        <x:v>供应商质量审核计划</x:v>
      </x:c>
      <x:c r="H101" s="31" t="str">
        <x:v>功能</x:v>
      </x:c>
      <x:c r="I101" s="29" t="str">
        <x:v>quality/audit</x:v>
      </x:c>
      <x:c r="J101" s="29" t="str">
        <x:v>配置审核模板、计划、审核组、检查项、发现、整改、复核和结论。</x:v>
      </x:c>
      <x:c r="K101" s="29" t="str">
        <x:v>重大不符合可直接触发准入/供应源限制评估。</x:v>
      </x:c>
      <x:c r="L101" s="29" t="str">
        <x:v>阶段4完成,D-006</x:v>
      </x:c>
      <x:c r="M101" s="31" t="str">
        <x:v>P0</x:v>
      </x:c>
      <x:c r="N101" s="31" t="str">
        <x:v>L</x:v>
      </x:c>
      <x:c r="O101" s="31" t="str">
        <x:v>开发Agent</x:v>
      </x:c>
      <x:c r="P101" s="31" t="str">
        <x:v>I14</x:v>
      </x:c>
      <x:c r="Q101" s="31" t="str">
        <x:v>S5-A 资格质量</x:v>
      </x:c>
      <x:c r="R101" s="33"/>
      <x:c r="S101" s="33"/>
      <x:c r="T101" s="31" t="str">
        <x:v>未开始</x:v>
      </x:c>
      <x:c r="U101" s="29" t="str">
        <x:v>供应商质量审核计划前后端功能、数据库迁移、权限点、接口及测试用例</x:v>
      </x:c>
      <x:c r="V101" s="29" t="str">
        <x:v>主路径可运行；权限、状态、异常、版本和审计校验通过；构建无错误</x:v>
      </x:c>
      <x:c r="W101" s="31" t="str">
        <x:v>待执行</x:v>
      </x:c>
      <x:c r="X101" s="31" t="str">
        <x:v>待执行</x:v>
      </x:c>
      <x:c r="Y101" s="31" t="str">
        <x:v>待执行</x:v>
      </x:c>
      <x:c r="Z101" s="31" t="str">
        <x:v>待执行</x:v>
      </x:c>
      <x:c r="AA101" s="33"/>
      <x:c r="AB101" s="29" t="str"/>
    </x:row>
    <x:row r="102" ht="42" customHeight="1">
      <x:c r="A102" s="31" t="n">
        <x:v>97</x:v>
      </x:c>
      <x:c r="B102" s="31" t="str">
        <x:v>S5-002</x:v>
      </x:c>
      <x:c r="C102" s="31" t="str">
        <x:v>阶段5：质量与结算闭环</x:v>
      </x:c>
      <x:c r="D102" s="31" t="str">
        <x:v>V1.0基线</x:v>
      </x:c>
      <x:c r="E102" s="31" t="str">
        <x:v>供应商质量管理</x:v>
      </x:c>
      <x:c r="F102" s="31" t="str">
        <x:v>物料资格</x:v>
      </x:c>
      <x:c r="G102" s="31" t="str">
        <x:v>物料资格模板与项目</x:v>
      </x:c>
      <x:c r="H102" s="31" t="str">
        <x:v>功能</x:v>
      </x:c>
      <x:c r="I102" s="29" t="str">
        <x:v>quality/qualification</x:v>
      </x:c>
      <x:c r="J102" s="29" t="str">
        <x:v>按品类/风险配置技术评审、样件、试制和量产认可阶段门。</x:v>
      </x:c>
      <x:c r="K102" s="29" t="str">
        <x:v>供应商主体准入不能替代站点/物料资格。</x:v>
      </x:c>
      <x:c r="L102" s="29" t="str">
        <x:v>S5-001,S2-005,S1-015</x:v>
      </x:c>
      <x:c r="M102" s="31" t="str">
        <x:v>P0</x:v>
      </x:c>
      <x:c r="N102" s="31" t="str">
        <x:v>XL</x:v>
      </x:c>
      <x:c r="O102" s="31" t="str">
        <x:v>开发Agent</x:v>
      </x:c>
      <x:c r="P102" s="31" t="str">
        <x:v>I14</x:v>
      </x:c>
      <x:c r="Q102" s="31" t="str">
        <x:v>S5-A 资格质量</x:v>
      </x:c>
      <x:c r="R102" s="33"/>
      <x:c r="S102" s="33"/>
      <x:c r="T102" s="31" t="str">
        <x:v>未开始</x:v>
      </x:c>
      <x:c r="U102" s="29" t="str">
        <x:v>物料资格模板与项目前后端功能、数据库迁移、权限点、接口及测试用例</x:v>
      </x:c>
      <x:c r="V102" s="29" t="str">
        <x:v>主路径可运行；权限、状态、异常、版本和审计校验通过；构建无错误</x:v>
      </x:c>
      <x:c r="W102" s="31" t="str">
        <x:v>待执行</x:v>
      </x:c>
      <x:c r="X102" s="31" t="str">
        <x:v>待执行</x:v>
      </x:c>
      <x:c r="Y102" s="31" t="str">
        <x:v>待执行</x:v>
      </x:c>
      <x:c r="Z102" s="31" t="str">
        <x:v>待执行</x:v>
      </x:c>
      <x:c r="AA102" s="33"/>
      <x:c r="AB102" s="29" t="str"/>
    </x:row>
    <x:row r="103" ht="42" customHeight="1">
      <x:c r="A103" s="31" t="n">
        <x:v>98</x:v>
      </x:c>
      <x:c r="B103" s="31" t="str">
        <x:v>S5-003</x:v>
      </x:c>
      <x:c r="C103" s="31" t="str">
        <x:v>阶段5：质量与结算闭环</x:v>
      </x:c>
      <x:c r="D103" s="31" t="str">
        <x:v>V1.0基线</x:v>
      </x:c>
      <x:c r="E103" s="31" t="str">
        <x:v>供应商质量管理</x:v>
      </x:c>
      <x:c r="F103" s="31" t="str">
        <x:v>技术评审</x:v>
      </x:c>
      <x:c r="G103" s="31" t="str">
        <x:v>物料资格申请与技术评审</x:v>
      </x:c>
      <x:c r="H103" s="31" t="str">
        <x:v>功能</x:v>
      </x:c>
      <x:c r="I103" s="29" t="str">
        <x:v>quality/qualification</x:v>
      </x:c>
      <x:c r="J103" s="29" t="str">
        <x:v>创建资格申请、技术资料、评审任务、结论、条件和有效期。</x:v>
      </x:c>
      <x:c r="K103" s="29" t="str">
        <x:v>条件通过有范围、数量/期限和补充任务。</x:v>
      </x:c>
      <x:c r="L103" s="29" t="str">
        <x:v>S5-002,S1-009,S1-010</x:v>
      </x:c>
      <x:c r="M103" s="31" t="str">
        <x:v>P0</x:v>
      </x:c>
      <x:c r="N103" s="31" t="str">
        <x:v>L</x:v>
      </x:c>
      <x:c r="O103" s="31" t="str">
        <x:v>开发Agent</x:v>
      </x:c>
      <x:c r="P103" s="31" t="str">
        <x:v>I14</x:v>
      </x:c>
      <x:c r="Q103" s="31" t="str">
        <x:v>S5-A 资格质量</x:v>
      </x:c>
      <x:c r="R103" s="33"/>
      <x:c r="S103" s="33"/>
      <x:c r="T103" s="31" t="str">
        <x:v>未开始</x:v>
      </x:c>
      <x:c r="U103" s="29" t="str">
        <x:v>物料资格申请与技术评审前后端功能、数据库迁移、权限点、接口及测试用例</x:v>
      </x:c>
      <x:c r="V103" s="29" t="str">
        <x:v>主路径可运行；权限、状态、异常、版本和审计校验通过；构建无错误</x:v>
      </x:c>
      <x:c r="W103" s="31" t="str">
        <x:v>待执行</x:v>
      </x:c>
      <x:c r="X103" s="31" t="str">
        <x:v>待执行</x:v>
      </x:c>
      <x:c r="Y103" s="31" t="str">
        <x:v>待执行</x:v>
      </x:c>
      <x:c r="Z103" s="31" t="str">
        <x:v>待执行</x:v>
      </x:c>
      <x:c r="AA103" s="33"/>
      <x:c r="AB103" s="29" t="str"/>
    </x:row>
    <x:row r="104" ht="42" customHeight="1">
      <x:c r="A104" s="31" t="n">
        <x:v>99</x:v>
      </x:c>
      <x:c r="B104" s="31" t="str">
        <x:v>S5-004</x:v>
      </x:c>
      <x:c r="C104" s="31" t="str">
        <x:v>阶段5：质量与结算闭环</x:v>
      </x:c>
      <x:c r="D104" s="31" t="str">
        <x:v>V1.0基线</x:v>
      </x:c>
      <x:c r="E104" s="31" t="str">
        <x:v>供应商质量管理</x:v>
      </x:c>
      <x:c r="F104" s="31" t="str">
        <x:v>样件试制</x:v>
      </x:c>
      <x:c r="G104" s="31" t="str">
        <x:v>样件与小批试制项目</x:v>
      </x:c>
      <x:c r="H104" s="31" t="str">
        <x:v>功能</x:v>
      </x:c>
      <x:c r="I104" s="29" t="str">
        <x:v>quality/trial</x:v>
      </x:c>
      <x:c r="J104" s="29" t="str">
        <x:v>管理样件/试制订单引用、批次、测试结果、问题、整改和阶段结论。</x:v>
      </x:c>
      <x:c r="K104" s="29" t="str">
        <x:v>试制成功不自动取得量产资格；可绑定试制/条件供应源。</x:v>
      </x:c>
      <x:c r="L104" s="29" t="str">
        <x:v>S5-003,S2-016,S4-011</x:v>
      </x:c>
      <x:c r="M104" s="31" t="str">
        <x:v>P0</x:v>
      </x:c>
      <x:c r="N104" s="31" t="str">
        <x:v>XL</x:v>
      </x:c>
      <x:c r="O104" s="31" t="str">
        <x:v>开发Agent</x:v>
      </x:c>
      <x:c r="P104" s="31" t="str">
        <x:v>I14</x:v>
      </x:c>
      <x:c r="Q104" s="31" t="str">
        <x:v>S5-A 资格质量</x:v>
      </x:c>
      <x:c r="R104" s="33"/>
      <x:c r="S104" s="33"/>
      <x:c r="T104" s="31" t="str">
        <x:v>未开始</x:v>
      </x:c>
      <x:c r="U104" s="29" t="str">
        <x:v>样件与小批试制项目前后端功能、数据库迁移、权限点、接口及测试用例</x:v>
      </x:c>
      <x:c r="V104" s="29" t="str">
        <x:v>主路径可运行；权限、状态、异常、版本和审计校验通过；构建无错误</x:v>
      </x:c>
      <x:c r="W104" s="31" t="str">
        <x:v>待执行</x:v>
      </x:c>
      <x:c r="X104" s="31" t="str">
        <x:v>待执行</x:v>
      </x:c>
      <x:c r="Y104" s="31" t="str">
        <x:v>待执行</x:v>
      </x:c>
      <x:c r="Z104" s="31" t="str">
        <x:v>待执行</x:v>
      </x:c>
      <x:c r="AA104" s="33"/>
      <x:c r="AB104" s="29" t="str"/>
    </x:row>
    <x:row r="105" ht="42" customHeight="1">
      <x:c r="A105" s="31" t="n">
        <x:v>100</x:v>
      </x:c>
      <x:c r="B105" s="31" t="str">
        <x:v>S5-005</x:v>
      </x:c>
      <x:c r="C105" s="31" t="str">
        <x:v>阶段5：质量与结算闭环</x:v>
      </x:c>
      <x:c r="D105" s="31" t="str">
        <x:v>V1.0基线</x:v>
      </x:c>
      <x:c r="E105" s="31" t="str">
        <x:v>供应商质量管理</x:v>
      </x:c>
      <x:c r="F105" s="31" t="str">
        <x:v>量产认可</x:v>
      </x:c>
      <x:c r="G105" s="31" t="str">
        <x:v>量产认可与资格版本</x:v>
      </x:c>
      <x:c r="H105" s="31" t="str">
        <x:v>功能</x:v>
      </x:c>
      <x:c r="I105" s="29" t="str">
        <x:v>quality/qualification</x:v>
      </x:c>
      <x:c r="J105" s="29" t="str">
        <x:v>完成量产认可、有效期、适用版本/工厂和证据，发布资格版本。</x:v>
      </x:c>
      <x:c r="K105" s="29" t="str">
        <x:v>资格失效/暂停触发供应源与开放订单影响评估。</x:v>
      </x:c>
      <x:c r="L105" s="29" t="str">
        <x:v>S5-004,S3-017</x:v>
      </x:c>
      <x:c r="M105" s="31" t="str">
        <x:v>P0</x:v>
      </x:c>
      <x:c r="N105" s="31" t="str">
        <x:v>XL</x:v>
      </x:c>
      <x:c r="O105" s="31" t="str">
        <x:v>开发Agent</x:v>
      </x:c>
      <x:c r="P105" s="31" t="str">
        <x:v>I15</x:v>
      </x:c>
      <x:c r="Q105" s="31" t="str">
        <x:v>S5-A 资格质量</x:v>
      </x:c>
      <x:c r="R105" s="33"/>
      <x:c r="S105" s="33"/>
      <x:c r="T105" s="31" t="str">
        <x:v>未开始</x:v>
      </x:c>
      <x:c r="U105" s="29" t="str">
        <x:v>量产认可与资格版本前后端功能、数据库迁移、权限点、接口及测试用例</x:v>
      </x:c>
      <x:c r="V105" s="29" t="str">
        <x:v>主路径可运行；权限、状态、异常、版本和审计校验通过；构建无错误</x:v>
      </x:c>
      <x:c r="W105" s="31" t="str">
        <x:v>待执行</x:v>
      </x:c>
      <x:c r="X105" s="31" t="str">
        <x:v>待执行</x:v>
      </x:c>
      <x:c r="Y105" s="31" t="str">
        <x:v>待执行</x:v>
      </x:c>
      <x:c r="Z105" s="31" t="str">
        <x:v>待执行</x:v>
      </x:c>
      <x:c r="AA105" s="33"/>
      <x:c r="AB105" s="29" t="str"/>
    </x:row>
    <x:row r="106" ht="42" customHeight="1">
      <x:c r="A106" s="31" t="n">
        <x:v>101</x:v>
      </x:c>
      <x:c r="B106" s="31" t="str">
        <x:v>S5-006</x:v>
      </x:c>
      <x:c r="C106" s="31" t="str">
        <x:v>阶段5：质量与结算闭环</x:v>
      </x:c>
      <x:c r="D106" s="31" t="str">
        <x:v>V1.0基线</x:v>
      </x:c>
      <x:c r="E106" s="31" t="str">
        <x:v>供应商质量管理</x:v>
      </x:c>
      <x:c r="F106" s="31" t="str">
        <x:v>供应商变更</x:v>
      </x:c>
      <x:c r="G106" s="31" t="str">
        <x:v>供应商工程与过程变更</x:v>
      </x:c>
      <x:c r="H106" s="31" t="str">
        <x:v>功能</x:v>
      </x:c>
      <x:c r="I106" s="29" t="str">
        <x:v>quality/change</x:v>
      </x:c>
      <x:c r="J106" s="29" t="str">
        <x:v>供应商提交工厂、材料、工艺、模具或分供方变更，执行评审和再验证。</x:v>
      </x:c>
      <x:c r="K106" s="29" t="str">
        <x:v>未经批准的关键变更阻断相关新发运或触发风险。</x:v>
      </x:c>
      <x:c r="L106" s="29" t="str">
        <x:v>S5-005,S1-009</x:v>
      </x:c>
      <x:c r="M106" s="31" t="str">
        <x:v>P1</x:v>
      </x:c>
      <x:c r="N106" s="31" t="str">
        <x:v>L</x:v>
      </x:c>
      <x:c r="O106" s="31" t="str">
        <x:v>开发Agent</x:v>
      </x:c>
      <x:c r="P106" s="31" t="str">
        <x:v>I15</x:v>
      </x:c>
      <x:c r="Q106" s="31" t="str">
        <x:v>S5-A 资格质量</x:v>
      </x:c>
      <x:c r="R106" s="33"/>
      <x:c r="S106" s="33"/>
      <x:c r="T106" s="31" t="str">
        <x:v>未开始</x:v>
      </x:c>
      <x:c r="U106" s="29" t="str">
        <x:v>供应商工程与过程变更前后端功能、数据库迁移、权限点、接口及测试用例</x:v>
      </x:c>
      <x:c r="V106" s="29" t="str">
        <x:v>主路径可运行；权限、状态、异常、版本和审计校验通过；构建无错误</x:v>
      </x:c>
      <x:c r="W106" s="31" t="str">
        <x:v>待执行</x:v>
      </x:c>
      <x:c r="X106" s="31" t="str">
        <x:v>待执行</x:v>
      </x:c>
      <x:c r="Y106" s="31" t="str">
        <x:v>待执行</x:v>
      </x:c>
      <x:c r="Z106" s="31" t="str">
        <x:v>待执行</x:v>
      </x:c>
      <x:c r="AA106" s="33"/>
      <x:c r="AB106" s="29" t="str"/>
    </x:row>
    <x:row r="107" ht="42" customHeight="1">
      <x:c r="A107" s="31" t="n">
        <x:v>102</x:v>
      </x:c>
      <x:c r="B107" s="31" t="str">
        <x:v>S5-007</x:v>
      </x:c>
      <x:c r="C107" s="31" t="str">
        <x:v>阶段5：质量与结算闭环</x:v>
      </x:c>
      <x:c r="D107" s="31" t="str">
        <x:v>V1.0基线</x:v>
      </x:c>
      <x:c r="E107" s="31" t="str">
        <x:v>供应商质量管理</x:v>
      </x:c>
      <x:c r="F107" s="31" t="str">
        <x:v>IQC</x:v>
      </x:c>
      <x:c r="G107" s="31" t="str">
        <x:v>IQC检验结果接收</x:v>
      </x:c>
      <x:c r="H107" s="31" t="str">
        <x:v>集成</x:v>
      </x:c>
      <x:c r="I107" s="29" t="str">
        <x:v>quality/iqc</x:v>
      </x:c>
      <x:c r="J107" s="29" t="str">
        <x:v>接收QMS/ERP或人工录入检验批、数量、判定、不良代码和证据。</x:v>
      </x:c>
      <x:c r="K107" s="29" t="str">
        <x:v>供应商不得修改采购方检验事实；重复/更正采用版本。</x:v>
      </x:c>
      <x:c r="L107" s="29" t="str">
        <x:v>S4-021,D-006</x:v>
      </x:c>
      <x:c r="M107" s="31" t="str">
        <x:v>P0</x:v>
      </x:c>
      <x:c r="N107" s="31" t="str">
        <x:v>XL</x:v>
      </x:c>
      <x:c r="O107" s="31" t="str">
        <x:v>开发Agent</x:v>
      </x:c>
      <x:c r="P107" s="31" t="str">
        <x:v>I15</x:v>
      </x:c>
      <x:c r="Q107" s="31" t="str">
        <x:v>S5-B 质量异常</x:v>
      </x:c>
      <x:c r="R107" s="33"/>
      <x:c r="S107" s="33"/>
      <x:c r="T107" s="31" t="str">
        <x:v>未开始</x:v>
      </x:c>
      <x:c r="U107" s="29" t="str">
        <x:v>IQC检验结果接收接口契约、实现、幂等/补偿与联调用例</x:v>
      </x:c>
      <x:c r="V107" s="29" t="str">
        <x:v>主流程、重复、乱序、失败重试和对账场景通过；业务状态不被接口失败误改</x:v>
      </x:c>
      <x:c r="W107" s="31" t="str">
        <x:v>待执行</x:v>
      </x:c>
      <x:c r="X107" s="31" t="str">
        <x:v>待执行</x:v>
      </x:c>
      <x:c r="Y107" s="31" t="str">
        <x:v>待执行</x:v>
      </x:c>
      <x:c r="Z107" s="31" t="str">
        <x:v>待执行</x:v>
      </x:c>
      <x:c r="AA107" s="33"/>
      <x:c r="AB107" s="29" t="str"/>
    </x:row>
    <x:row r="108" ht="42" customHeight="1">
      <x:c r="A108" s="31" t="n">
        <x:v>103</x:v>
      </x:c>
      <x:c r="B108" s="31" t="str">
        <x:v>S5-008</x:v>
      </x:c>
      <x:c r="C108" s="31" t="str">
        <x:v>阶段5：质量与结算闭环</x:v>
      </x:c>
      <x:c r="D108" s="31" t="str">
        <x:v>V1.0基线</x:v>
      </x:c>
      <x:c r="E108" s="31" t="str">
        <x:v>供应商质量管理</x:v>
      </x:c>
      <x:c r="F108" s="31" t="str">
        <x:v>质量异常</x:v>
      </x:c>
      <x:c r="G108" s="31" t="str">
        <x:v>质量异常与责任分派</x:v>
      </x:c>
      <x:c r="H108" s="31" t="str">
        <x:v>功能</x:v>
      </x:c>
      <x:c r="I108" s="29" t="str">
        <x:v>quality/issue</x:v>
      </x:c>
      <x:c r="J108" s="29" t="str">
        <x:v>由IQC/生产/审核创建异常，记录批次、严重度、影响数量、责任和截止时间。</x:v>
      </x:c>
      <x:c r="K108" s="29" t="str">
        <x:v>重大问题可立即限制供应源，不等待周期评分。</x:v>
      </x:c>
      <x:c r="L108" s="29" t="str">
        <x:v>S5-007,S1-010</x:v>
      </x:c>
      <x:c r="M108" s="31" t="str">
        <x:v>P0</x:v>
      </x:c>
      <x:c r="N108" s="31" t="str">
        <x:v>L</x:v>
      </x:c>
      <x:c r="O108" s="31" t="str">
        <x:v>开发Agent</x:v>
      </x:c>
      <x:c r="P108" s="31" t="str">
        <x:v>I15</x:v>
      </x:c>
      <x:c r="Q108" s="31" t="str">
        <x:v>S5-B 质量异常</x:v>
      </x:c>
      <x:c r="R108" s="33"/>
      <x:c r="S108" s="33"/>
      <x:c r="T108" s="31" t="str">
        <x:v>未开始</x:v>
      </x:c>
      <x:c r="U108" s="29" t="str">
        <x:v>质量异常与责任分派前后端功能、数据库迁移、权限点、接口及测试用例</x:v>
      </x:c>
      <x:c r="V108" s="29" t="str">
        <x:v>主路径可运行；权限、状态、异常、版本和审计校验通过；构建无错误</x:v>
      </x:c>
      <x:c r="W108" s="31" t="str">
        <x:v>待执行</x:v>
      </x:c>
      <x:c r="X108" s="31" t="str">
        <x:v>待执行</x:v>
      </x:c>
      <x:c r="Y108" s="31" t="str">
        <x:v>待执行</x:v>
      </x:c>
      <x:c r="Z108" s="31" t="str">
        <x:v>待执行</x:v>
      </x:c>
      <x:c r="AA108" s="33"/>
      <x:c r="AB108" s="29" t="str"/>
    </x:row>
    <x:row r="109" ht="42" customHeight="1">
      <x:c r="A109" s="31" t="n">
        <x:v>104</x:v>
      </x:c>
      <x:c r="B109" s="31" t="str">
        <x:v>S5-009</x:v>
      </x:c>
      <x:c r="C109" s="31" t="str">
        <x:v>阶段5：质量与结算闭环</x:v>
      </x:c>
      <x:c r="D109" s="31" t="str">
        <x:v>V1.0基线</x:v>
      </x:c>
      <x:c r="E109" s="31" t="str">
        <x:v>供应商质量管理</x:v>
      </x:c>
      <x:c r="F109" s="31" t="str">
        <x:v>围堵处置</x:v>
      </x:c>
      <x:c r="G109" s="31" t="str">
        <x:v>隔离退货返工与补货</x:v>
      </x:c>
      <x:c r="H109" s="31" t="str">
        <x:v>功能</x:v>
      </x:c>
      <x:c r="I109" s="29" t="str">
        <x:v>quality/disposition</x:v>
      </x:c>
      <x:c r="J109" s="29" t="str">
        <x:v>记录隔离、挑选、返工、退货、报废、补货和数量/费用影响。</x:v>
      </x:c>
      <x:c r="K109" s="29" t="str">
        <x:v>处置数量与收货/库存/结算事实一致，不得重复扣减。</x:v>
      </x:c>
      <x:c r="L109" s="29" t="str">
        <x:v>S5-008,S4-022</x:v>
      </x:c>
      <x:c r="M109" s="31" t="str">
        <x:v>P0</x:v>
      </x:c>
      <x:c r="N109" s="31" t="str">
        <x:v>XL</x:v>
      </x:c>
      <x:c r="O109" s="31" t="str">
        <x:v>开发Agent</x:v>
      </x:c>
      <x:c r="P109" s="31" t="str">
        <x:v>I15</x:v>
      </x:c>
      <x:c r="Q109" s="31" t="str">
        <x:v>S5-B 质量异常</x:v>
      </x:c>
      <x:c r="R109" s="33"/>
      <x:c r="S109" s="33"/>
      <x:c r="T109" s="31" t="str">
        <x:v>未开始</x:v>
      </x:c>
      <x:c r="U109" s="29" t="str">
        <x:v>隔离退货返工与补货前后端功能、数据库迁移、权限点、接口及测试用例</x:v>
      </x:c>
      <x:c r="V109" s="29" t="str">
        <x:v>主路径可运行；权限、状态、异常、版本和审计校验通过；构建无错误</x:v>
      </x:c>
      <x:c r="W109" s="31" t="str">
        <x:v>待执行</x:v>
      </x:c>
      <x:c r="X109" s="31" t="str">
        <x:v>待执行</x:v>
      </x:c>
      <x:c r="Y109" s="31" t="str">
        <x:v>待执行</x:v>
      </x:c>
      <x:c r="Z109" s="31" t="str">
        <x:v>待执行</x:v>
      </x:c>
      <x:c r="AA109" s="33"/>
      <x:c r="AB109" s="29" t="str"/>
    </x:row>
    <x:row r="110" ht="42" customHeight="1">
      <x:c r="A110" s="31" t="n">
        <x:v>105</x:v>
      </x:c>
      <x:c r="B110" s="31" t="str">
        <x:v>S5-010</x:v>
      </x:c>
      <x:c r="C110" s="31" t="str">
        <x:v>阶段5：质量与结算闭环</x:v>
      </x:c>
      <x:c r="D110" s="31" t="str">
        <x:v>V1.0基线</x:v>
      </x:c>
      <x:c r="E110" s="31" t="str">
        <x:v>供应商质量管理</x:v>
      </x:c>
      <x:c r="F110" s="31" t="str">
        <x:v>SCAR/8D</x:v>
      </x:c>
      <x:c r="G110" s="31" t="str">
        <x:v>供应商整改与8D</x:v>
      </x:c>
      <x:c r="H110" s="31" t="str">
        <x:v>功能</x:v>
      </x:c>
      <x:c r="I110" s="29" t="str">
        <x:v>quality/capa</x:v>
      </x:c>
      <x:c r="J110" s="29" t="str">
        <x:v>发布SCAR/8D，供应商提交围堵、根因、措施、证据和计划。</x:v>
      </x:c>
      <x:c r="K110" s="29" t="str">
        <x:v>结构化数据替代普通评论；逾期和重复问题自动升级。</x:v>
      </x:c>
      <x:c r="L110" s="29" t="str">
        <x:v>S5-008,S2-014</x:v>
      </x:c>
      <x:c r="M110" s="31" t="str">
        <x:v>P0</x:v>
      </x:c>
      <x:c r="N110" s="31" t="str">
        <x:v>XL</x:v>
      </x:c>
      <x:c r="O110" s="31" t="str">
        <x:v>开发Agent</x:v>
      </x:c>
      <x:c r="P110" s="31" t="str">
        <x:v>I16</x:v>
      </x:c>
      <x:c r="Q110" s="31" t="str">
        <x:v>S5-B 质量异常</x:v>
      </x:c>
      <x:c r="R110" s="33"/>
      <x:c r="S110" s="33"/>
      <x:c r="T110" s="31" t="str">
        <x:v>未开始</x:v>
      </x:c>
      <x:c r="U110" s="29" t="str">
        <x:v>供应商整改与8D前后端功能、数据库迁移、权限点、接口及测试用例</x:v>
      </x:c>
      <x:c r="V110" s="29" t="str">
        <x:v>主路径可运行；权限、状态、异常、版本和审计校验通过；构建无错误</x:v>
      </x:c>
      <x:c r="W110" s="31" t="str">
        <x:v>待执行</x:v>
      </x:c>
      <x:c r="X110" s="31" t="str">
        <x:v>待执行</x:v>
      </x:c>
      <x:c r="Y110" s="31" t="str">
        <x:v>待执行</x:v>
      </x:c>
      <x:c r="Z110" s="31" t="str">
        <x:v>待执行</x:v>
      </x:c>
      <x:c r="AA110" s="33"/>
      <x:c r="AB110" s="29" t="str"/>
    </x:row>
    <x:row r="111" ht="42" customHeight="1">
      <x:c r="A111" s="31" t="n">
        <x:v>106</x:v>
      </x:c>
      <x:c r="B111" s="31" t="str">
        <x:v>S5-011</x:v>
      </x:c>
      <x:c r="C111" s="31" t="str">
        <x:v>阶段5：质量与结算闭环</x:v>
      </x:c>
      <x:c r="D111" s="31" t="str">
        <x:v>V1.0基线</x:v>
      </x:c>
      <x:c r="E111" s="31" t="str">
        <x:v>供应商质量管理</x:v>
      </x:c>
      <x:c r="F111" s="31" t="str">
        <x:v>复验关闭</x:v>
      </x:c>
      <x:c r="G111" s="31" t="str">
        <x:v>复验与措施有效性验证</x:v>
      </x:c>
      <x:c r="H111" s="31" t="str">
        <x:v>功能</x:v>
      </x:c>
      <x:c r="I111" s="29" t="str">
        <x:v>quality/capa</x:v>
      </x:c>
      <x:c r="J111" s="29" t="str">
        <x:v>记录复验、效果验证、关闭、重开和升级，回写资格/供应源/绩效事实。</x:v>
      </x:c>
      <x:c r="K111" s="29" t="str">
        <x:v>关闭必须有验证证据；无效措施不得直接结案。</x:v>
      </x:c>
      <x:c r="L111" s="29" t="str">
        <x:v>S5-009,S5-010</x:v>
      </x:c>
      <x:c r="M111" s="31" t="str">
        <x:v>P0</x:v>
      </x:c>
      <x:c r="N111" s="31" t="str">
        <x:v>L</x:v>
      </x:c>
      <x:c r="O111" s="31" t="str">
        <x:v>开发Agent</x:v>
      </x:c>
      <x:c r="P111" s="31" t="str">
        <x:v>I16</x:v>
      </x:c>
      <x:c r="Q111" s="31" t="str">
        <x:v>S5-B 质量异常</x:v>
      </x:c>
      <x:c r="R111" s="33"/>
      <x:c r="S111" s="33"/>
      <x:c r="T111" s="31" t="str">
        <x:v>未开始</x:v>
      </x:c>
      <x:c r="U111" s="29" t="str">
        <x:v>复验与措施有效性验证前后端功能、数据库迁移、权限点、接口及测试用例</x:v>
      </x:c>
      <x:c r="V111" s="29" t="str">
        <x:v>主路径可运行；权限、状态、异常、版本和审计校验通过；构建无错误</x:v>
      </x:c>
      <x:c r="W111" s="31" t="str">
        <x:v>待执行</x:v>
      </x:c>
      <x:c r="X111" s="31" t="str">
        <x:v>待执行</x:v>
      </x:c>
      <x:c r="Y111" s="31" t="str">
        <x:v>待执行</x:v>
      </x:c>
      <x:c r="Z111" s="31" t="str">
        <x:v>待执行</x:v>
      </x:c>
      <x:c r="AA111" s="33"/>
      <x:c r="AB111" s="29" t="str"/>
    </x:row>
    <x:row r="112" ht="42" customHeight="1">
      <x:c r="A112" s="31" t="n">
        <x:v>107</x:v>
      </x:c>
      <x:c r="B112" s="31" t="str">
        <x:v>S5-012</x:v>
      </x:c>
      <x:c r="C112" s="31" t="str">
        <x:v>阶段5：质量与结算闭环</x:v>
      </x:c>
      <x:c r="D112" s="31" t="str">
        <x:v>V1.0基线</x:v>
      </x:c>
      <x:c r="E112" s="31" t="str">
        <x:v>供应商质量管理</x:v>
      </x:c>
      <x:c r="F112" s="31" t="str">
        <x:v>特采</x:v>
      </x:c>
      <x:c r="G112" s="31" t="str">
        <x:v>特采让步放行</x:v>
      </x:c>
      <x:c r="H112" s="31" t="str">
        <x:v>功能</x:v>
      </x:c>
      <x:c r="I112" s="29" t="str">
        <x:v>quality/deviation</x:v>
      </x:c>
      <x:c r="J112" s="29" t="str">
        <x:v>执行批次、数量、用途、风险、授权、期限和跟踪。</x:v>
      </x:c>
      <x:c r="K112" s="29" t="str">
        <x:v>特采不自动成为长期标准或量产资格；到期自动失效。</x:v>
      </x:c>
      <x:c r="L112" s="29" t="str">
        <x:v>S5-007,S1-008</x:v>
      </x:c>
      <x:c r="M112" s="31" t="str">
        <x:v>P0</x:v>
      </x:c>
      <x:c r="N112" s="31" t="str">
        <x:v>L</x:v>
      </x:c>
      <x:c r="O112" s="31" t="str">
        <x:v>开发Agent</x:v>
      </x:c>
      <x:c r="P112" s="31" t="str">
        <x:v>I16</x:v>
      </x:c>
      <x:c r="Q112" s="31" t="str">
        <x:v>S5-B 质量异常</x:v>
      </x:c>
      <x:c r="R112" s="33"/>
      <x:c r="S112" s="33"/>
      <x:c r="T112" s="31" t="str">
        <x:v>未开始</x:v>
      </x:c>
      <x:c r="U112" s="29" t="str">
        <x:v>特采让步放行前后端功能、数据库迁移、权限点、接口及测试用例</x:v>
      </x:c>
      <x:c r="V112" s="29" t="str">
        <x:v>主路径可运行；权限、状态、异常、版本和审计校验通过；构建无错误</x:v>
      </x:c>
      <x:c r="W112" s="31" t="str">
        <x:v>待执行</x:v>
      </x:c>
      <x:c r="X112" s="31" t="str">
        <x:v>待执行</x:v>
      </x:c>
      <x:c r="Y112" s="31" t="str">
        <x:v>待执行</x:v>
      </x:c>
      <x:c r="Z112" s="31" t="str">
        <x:v>待执行</x:v>
      </x:c>
      <x:c r="AA112" s="33"/>
      <x:c r="AB112" s="29" t="str"/>
    </x:row>
    <x:row r="113" ht="42" customHeight="1">
      <x:c r="A113" s="31" t="n">
        <x:v>108</x:v>
      </x:c>
      <x:c r="B113" s="31" t="str">
        <x:v>S5-013</x:v>
      </x:c>
      <x:c r="C113" s="31" t="str">
        <x:v>阶段5：质量与结算闭环</x:v>
      </x:c>
      <x:c r="D113" s="31" t="str">
        <x:v>V1.0基线</x:v>
      </x:c>
      <x:c r="E113" s="31" t="str">
        <x:v>供应源管理</x:v>
      </x:c>
      <x:c r="F113" s="31" t="str">
        <x:v>质量联动</x:v>
      </x:c>
      <x:c r="G113" s="31" t="str">
        <x:v>质量触发供应源限制与订单评估</x:v>
      </x:c>
      <x:c r="H113" s="31" t="str">
        <x:v>功能</x:v>
      </x:c>
      <x:c r="I113" s="29" t="str">
        <x:v>source/quality-link</x:v>
      </x:c>
      <x:c r="J113" s="29" t="str">
        <x:v>根据资格/重大质量/变更状态限制、暂停或恢复供应源并列出开放订单。</x:v>
      </x:c>
      <x:c r="K113" s="29" t="str">
        <x:v>新业务阻断与历史事实分离；每个开放订单需继续/替代/取消决策。</x:v>
      </x:c>
      <x:c r="L113" s="29" t="str">
        <x:v>S5-005,S5-008,S5-011,S5-012</x:v>
      </x:c>
      <x:c r="M113" s="31" t="str">
        <x:v>P0</x:v>
      </x:c>
      <x:c r="N113" s="31" t="str">
        <x:v>XL</x:v>
      </x:c>
      <x:c r="O113" s="31" t="str">
        <x:v>开发Agent</x:v>
      </x:c>
      <x:c r="P113" s="31" t="str">
        <x:v>I16</x:v>
      </x:c>
      <x:c r="Q113" s="31" t="str">
        <x:v>S5-B 质量异常</x:v>
      </x:c>
      <x:c r="R113" s="33"/>
      <x:c r="S113" s="33"/>
      <x:c r="T113" s="31" t="str">
        <x:v>未开始</x:v>
      </x:c>
      <x:c r="U113" s="29" t="str">
        <x:v>质量触发供应源限制与订单评估前后端功能、数据库迁移、权限点、接口及测试用例</x:v>
      </x:c>
      <x:c r="V113" s="29" t="str">
        <x:v>主路径可运行；权限、状态、异常、版本和审计校验通过；构建无错误</x:v>
      </x:c>
      <x:c r="W113" s="31" t="str">
        <x:v>待执行</x:v>
      </x:c>
      <x:c r="X113" s="31" t="str">
        <x:v>待执行</x:v>
      </x:c>
      <x:c r="Y113" s="31" t="str">
        <x:v>待执行</x:v>
      </x:c>
      <x:c r="Z113" s="31" t="str">
        <x:v>待执行</x:v>
      </x:c>
      <x:c r="AA113" s="33"/>
      <x:c r="AB113" s="29" t="str"/>
    </x:row>
    <x:row r="114" ht="42" customHeight="1">
      <x:c r="A114" s="31" t="n">
        <x:v>109</x:v>
      </x:c>
      <x:c r="B114" s="31" t="str">
        <x:v>S5-014</x:v>
      </x:c>
      <x:c r="C114" s="31" t="str">
        <x:v>阶段5：质量与结算闭环</x:v>
      </x:c>
      <x:c r="D114" s="31" t="str">
        <x:v>V1.0基线</x:v>
      </x:c>
      <x:c r="E114" s="31" t="str">
        <x:v>对账与结算协同</x:v>
      </x:c>
      <x:c r="F114" s="31" t="str">
        <x:v>对账生成</x:v>
      </x:c>
      <x:c r="G114" s="31" t="str">
        <x:v>周期对账单生成</x:v>
      </x:c>
      <x:c r="H114" s="31" t="str">
        <x:v>功能</x:v>
      </x:c>
      <x:c r="I114" s="29" t="str">
        <x:v>settlement/reconciliation</x:v>
      </x:c>
      <x:c r="J114" s="29" t="str">
        <x:v>按供应商、法律主体、采购组织、币种和周期汇总PO、收货、质量、退货、价格与扣款。</x:v>
      </x:c>
      <x:c r="K114" s="29" t="str">
        <x:v>只使用权威事实和生效价格；生成时保存明细快照。</x:v>
      </x:c>
      <x:c r="L114" s="29" t="str">
        <x:v>S4-011,S4-021,S5-007:S5-013,D-007</x:v>
      </x:c>
      <x:c r="M114" s="31" t="str">
        <x:v>P0</x:v>
      </x:c>
      <x:c r="N114" s="31" t="str">
        <x:v>XL</x:v>
      </x:c>
      <x:c r="O114" s="31" t="str">
        <x:v>开发Agent</x:v>
      </x:c>
      <x:c r="P114" s="31" t="str">
        <x:v>I16</x:v>
      </x:c>
      <x:c r="Q114" s="31" t="str">
        <x:v>S5-C 对账结算</x:v>
      </x:c>
      <x:c r="R114" s="33"/>
      <x:c r="S114" s="33"/>
      <x:c r="T114" s="31" t="str">
        <x:v>未开始</x:v>
      </x:c>
      <x:c r="U114" s="29" t="str">
        <x:v>周期对账单生成前后端功能、数据库迁移、权限点、接口及测试用例</x:v>
      </x:c>
      <x:c r="V114" s="29" t="str">
        <x:v>主路径可运行；权限、状态、异常、版本和审计校验通过；构建无错误</x:v>
      </x:c>
      <x:c r="W114" s="31" t="str">
        <x:v>待执行</x:v>
      </x:c>
      <x:c r="X114" s="31" t="str">
        <x:v>待执行</x:v>
      </x:c>
      <x:c r="Y114" s="31" t="str">
        <x:v>待执行</x:v>
      </x:c>
      <x:c r="Z114" s="31" t="str">
        <x:v>待执行</x:v>
      </x:c>
      <x:c r="AA114" s="33"/>
      <x:c r="AB114" s="29" t="str"/>
    </x:row>
    <x:row r="115" ht="42" customHeight="1">
      <x:c r="A115" s="31" t="n">
        <x:v>110</x:v>
      </x:c>
      <x:c r="B115" s="31" t="str">
        <x:v>S5-015</x:v>
      </x:c>
      <x:c r="C115" s="31" t="str">
        <x:v>阶段5：质量与结算闭环</x:v>
      </x:c>
      <x:c r="D115" s="31" t="str">
        <x:v>V1.0基线</x:v>
      </x:c>
      <x:c r="E115" s="31" t="str">
        <x:v>对账与结算协同</x:v>
      </x:c>
      <x:c r="F115" s="31" t="str">
        <x:v>匹配校验</x:v>
      </x:c>
      <x:c r="G115" s="31" t="str">
        <x:v>三单四单匹配</x:v>
      </x:c>
      <x:c r="H115" s="31" t="str">
        <x:v>功能</x:v>
      </x:c>
      <x:c r="I115" s="29" t="str">
        <x:v>settlement/matching</x:v>
      </x:c>
      <x:c r="J115" s="29" t="str">
        <x:v>配置PO-收货-质量/退货-发票的数量、价格、税和容差匹配。</x:v>
      </x:c>
      <x:c r="K115" s="29" t="str">
        <x:v>质量/退货影响可结算数量；容差外必须形成差异。</x:v>
      </x:c>
      <x:c r="L115" s="29" t="str">
        <x:v>S5-014</x:v>
      </x:c>
      <x:c r="M115" s="31" t="str">
        <x:v>P0</x:v>
      </x:c>
      <x:c r="N115" s="31" t="str">
        <x:v>XL</x:v>
      </x:c>
      <x:c r="O115" s="31" t="str">
        <x:v>开发Agent</x:v>
      </x:c>
      <x:c r="P115" s="31" t="str">
        <x:v>I17</x:v>
      </x:c>
      <x:c r="Q115" s="31" t="str">
        <x:v>S5-C 对账结算</x:v>
      </x:c>
      <x:c r="R115" s="33"/>
      <x:c r="S115" s="33"/>
      <x:c r="T115" s="31" t="str">
        <x:v>未开始</x:v>
      </x:c>
      <x:c r="U115" s="29" t="str">
        <x:v>三单四单匹配前后端功能、数据库迁移、权限点、接口及测试用例</x:v>
      </x:c>
      <x:c r="V115" s="29" t="str">
        <x:v>主路径可运行；权限、状态、异常、版本和审计校验通过；构建无错误</x:v>
      </x:c>
      <x:c r="W115" s="31" t="str">
        <x:v>待执行</x:v>
      </x:c>
      <x:c r="X115" s="31" t="str">
        <x:v>待执行</x:v>
      </x:c>
      <x:c r="Y115" s="31" t="str">
        <x:v>待执行</x:v>
      </x:c>
      <x:c r="Z115" s="31" t="str">
        <x:v>待执行</x:v>
      </x:c>
      <x:c r="AA115" s="33"/>
      <x:c r="AB115" s="29" t="str"/>
    </x:row>
    <x:row r="116" ht="42" customHeight="1">
      <x:c r="A116" s="31" t="n">
        <x:v>111</x:v>
      </x:c>
      <x:c r="B116" s="31" t="str">
        <x:v>S5-016</x:v>
      </x:c>
      <x:c r="C116" s="31" t="str">
        <x:v>阶段5：质量与结算闭环</x:v>
      </x:c>
      <x:c r="D116" s="31" t="str">
        <x:v>V1.0基线</x:v>
      </x:c>
      <x:c r="E116" s="31" t="str">
        <x:v>对账与结算协同</x:v>
      </x:c>
      <x:c r="F116" s="31" t="str">
        <x:v>差异处理</x:v>
      </x:c>
      <x:c r="G116" s="31" t="str">
        <x:v>对账差异分派与处理</x:v>
      </x:c>
      <x:c r="H116" s="31" t="str">
        <x:v>功能</x:v>
      </x:c>
      <x:c r="I116" s="29" t="str">
        <x:v>settlement/dispute</x:v>
      </x:c>
      <x:c r="J116" s="29" t="str">
        <x:v>逐项处理价格、数量、退货、税费、扣款和重复差异，支持举证、调整或授权接受。</x:v>
      </x:c>
      <x:c r="K116" s="29" t="str">
        <x:v>差异不可仅改总金额；处理结果追溯到原事实和责任方。</x:v>
      </x:c>
      <x:c r="L116" s="29" t="str">
        <x:v>S5-015,S1-010</x:v>
      </x:c>
      <x:c r="M116" s="31" t="str">
        <x:v>P0</x:v>
      </x:c>
      <x:c r="N116" s="31" t="str">
        <x:v>L</x:v>
      </x:c>
      <x:c r="O116" s="31" t="str">
        <x:v>开发Agent</x:v>
      </x:c>
      <x:c r="P116" s="31" t="str">
        <x:v>I17</x:v>
      </x:c>
      <x:c r="Q116" s="31" t="str">
        <x:v>S5-C 对账结算</x:v>
      </x:c>
      <x:c r="R116" s="33"/>
      <x:c r="S116" s="33"/>
      <x:c r="T116" s="31" t="str">
        <x:v>未开始</x:v>
      </x:c>
      <x:c r="U116" s="29" t="str">
        <x:v>对账差异分派与处理前后端功能、数据库迁移、权限点、接口及测试用例</x:v>
      </x:c>
      <x:c r="V116" s="29" t="str">
        <x:v>主路径可运行；权限、状态、异常、版本和审计校验通过；构建无错误</x:v>
      </x:c>
      <x:c r="W116" s="31" t="str">
        <x:v>待执行</x:v>
      </x:c>
      <x:c r="X116" s="31" t="str">
        <x:v>待执行</x:v>
      </x:c>
      <x:c r="Y116" s="31" t="str">
        <x:v>待执行</x:v>
      </x:c>
      <x:c r="Z116" s="31" t="str">
        <x:v>待执行</x:v>
      </x:c>
      <x:c r="AA116" s="33"/>
      <x:c r="AB116" s="29" t="str"/>
    </x:row>
    <x:row r="117" ht="42" customHeight="1">
      <x:c r="A117" s="31" t="n">
        <x:v>112</x:v>
      </x:c>
      <x:c r="B117" s="31" t="str">
        <x:v>S5-017</x:v>
      </x:c>
      <x:c r="C117" s="31" t="str">
        <x:v>阶段5：质量与结算闭环</x:v>
      </x:c>
      <x:c r="D117" s="31" t="str">
        <x:v>V1.0基线</x:v>
      </x:c>
      <x:c r="E117" s="31" t="str">
        <x:v>对账与结算协同</x:v>
      </x:c>
      <x:c r="F117" s="31" t="str">
        <x:v>供应商确认</x:v>
      </x:c>
      <x:c r="G117" s="31" t="str">
        <x:v>对账单供应商确认</x:v>
      </x:c>
      <x:c r="H117" s="31" t="str">
        <x:v>功能</x:v>
      </x:c>
      <x:c r="I117" s="29" t="str">
        <x:v>settlement/portal</x:v>
      </x:c>
      <x:c r="J117" s="29" t="str">
        <x:v>向供应商发布对账明细，接收确认/异议并完成双方一致。</x:v>
      </x:c>
      <x:c r="K117" s="29" t="str">
        <x:v>供应商仅见自身数据；已一致版本不可覆盖。</x:v>
      </x:c>
      <x:c r="L117" s="29" t="str">
        <x:v>S5-016,S2-014</x:v>
      </x:c>
      <x:c r="M117" s="31" t="str">
        <x:v>P0</x:v>
      </x:c>
      <x:c r="N117" s="31" t="str">
        <x:v>L</x:v>
      </x:c>
      <x:c r="O117" s="31" t="str">
        <x:v>开发Agent</x:v>
      </x:c>
      <x:c r="P117" s="31" t="str">
        <x:v>I17</x:v>
      </x:c>
      <x:c r="Q117" s="31" t="str">
        <x:v>S5-C 对账结算</x:v>
      </x:c>
      <x:c r="R117" s="33"/>
      <x:c r="S117" s="33"/>
      <x:c r="T117" s="31" t="str">
        <x:v>未开始</x:v>
      </x:c>
      <x:c r="U117" s="29" t="str">
        <x:v>对账单供应商确认前后端功能、数据库迁移、权限点、接口及测试用例</x:v>
      </x:c>
      <x:c r="V117" s="29" t="str">
        <x:v>主路径可运行；权限、状态、异常、版本和审计校验通过；构建无错误</x:v>
      </x:c>
      <x:c r="W117" s="31" t="str">
        <x:v>待执行</x:v>
      </x:c>
      <x:c r="X117" s="31" t="str">
        <x:v>待执行</x:v>
      </x:c>
      <x:c r="Y117" s="31" t="str">
        <x:v>待执行</x:v>
      </x:c>
      <x:c r="Z117" s="31" t="str">
        <x:v>待执行</x:v>
      </x:c>
      <x:c r="AA117" s="33"/>
      <x:c r="AB117" s="29" t="str"/>
    </x:row>
    <x:row r="118" ht="42" customHeight="1">
      <x:c r="A118" s="31" t="n">
        <x:v>113</x:v>
      </x:c>
      <x:c r="B118" s="31" t="str">
        <x:v>S5-018</x:v>
      </x:c>
      <x:c r="C118" s="31" t="str">
        <x:v>阶段5：质量与结算闭环</x:v>
      </x:c>
      <x:c r="D118" s="31" t="str">
        <x:v>V1.0基线</x:v>
      </x:c>
      <x:c r="E118" s="31" t="str">
        <x:v>对账与结算协同</x:v>
      </x:c>
      <x:c r="F118" s="31" t="str">
        <x:v>发票请款</x:v>
      </x:c>
      <x:c r="G118" s="31" t="str">
        <x:v>发票与请款材料协同</x:v>
      </x:c>
      <x:c r="H118" s="31" t="str">
        <x:v>功能</x:v>
      </x:c>
      <x:c r="I118" s="29" t="str">
        <x:v>settlement/invoice</x:v>
      </x:c>
      <x:c r="J118" s="29" t="str">
        <x:v>供应商提交发票元数据、附件和请款材料，校验重复、金额和必要证据。</x:v>
      </x:c>
      <x:c r="K118" s="29" t="str">
        <x:v>首期不自行生成财务凭证；敏感税务/银行资料受控。</x:v>
      </x:c>
      <x:c r="L118" s="29" t="str">
        <x:v>S5-017,S1-013</x:v>
      </x:c>
      <x:c r="M118" s="31" t="str">
        <x:v>P1</x:v>
      </x:c>
      <x:c r="N118" s="31" t="str">
        <x:v>L</x:v>
      </x:c>
      <x:c r="O118" s="31" t="str">
        <x:v>开发Agent</x:v>
      </x:c>
      <x:c r="P118" s="31" t="str">
        <x:v>I17</x:v>
      </x:c>
      <x:c r="Q118" s="31" t="str">
        <x:v>S5-C 对账结算</x:v>
      </x:c>
      <x:c r="R118" s="33"/>
      <x:c r="S118" s="33"/>
      <x:c r="T118" s="31" t="str">
        <x:v>未开始</x:v>
      </x:c>
      <x:c r="U118" s="29" t="str">
        <x:v>发票与请款材料协同前后端功能、数据库迁移、权限点、接口及测试用例</x:v>
      </x:c>
      <x:c r="V118" s="29" t="str">
        <x:v>主路径可运行；权限、状态、异常、版本和审计校验通过；构建无错误</x:v>
      </x:c>
      <x:c r="W118" s="31" t="str">
        <x:v>待执行</x:v>
      </x:c>
      <x:c r="X118" s="31" t="str">
        <x:v>待执行</x:v>
      </x:c>
      <x:c r="Y118" s="31" t="str">
        <x:v>待执行</x:v>
      </x:c>
      <x:c r="Z118" s="31" t="str">
        <x:v>待执行</x:v>
      </x:c>
      <x:c r="AA118" s="33"/>
      <x:c r="AB118" s="29" t="str"/>
    </x:row>
    <x:row r="119" ht="42" customHeight="1">
      <x:c r="A119" s="31" t="n">
        <x:v>114</x:v>
      </x:c>
      <x:c r="B119" s="31" t="str">
        <x:v>S5-019</x:v>
      </x:c>
      <x:c r="C119" s="31" t="str">
        <x:v>阶段5：质量与结算闭环</x:v>
      </x:c>
      <x:c r="D119" s="31" t="str">
        <x:v>V1.0基线</x:v>
      </x:c>
      <x:c r="E119" s="31" t="str">
        <x:v>对账与结算协同</x:v>
      </x:c>
      <x:c r="F119" s="31" t="str">
        <x:v>付款反馈</x:v>
      </x:c>
      <x:c r="G119" s="31" t="str">
        <x:v>ERP应付与付款状态回传</x:v>
      </x:c>
      <x:c r="H119" s="31" t="str">
        <x:v>集成</x:v>
      </x:c>
      <x:c r="I119" s="29" t="str">
        <x:v>settlement/finance-integration</x:v>
      </x:c>
      <x:c r="J119" s="29" t="str">
        <x:v>同步应付凭证、到期日、付款批次、付款/失败/关闭结果。</x:v>
      </x:c>
      <x:c r="K119" s="29" t="str">
        <x:v>对账一致≠应付确认≠付款完成；接口失败不倒退业务状态。</x:v>
      </x:c>
      <x:c r="L119" s="29" t="str">
        <x:v>S5-018,S1-019,D-007</x:v>
      </x:c>
      <x:c r="M119" s="31" t="str">
        <x:v>P0</x:v>
      </x:c>
      <x:c r="N119" s="31" t="str">
        <x:v>XL</x:v>
      </x:c>
      <x:c r="O119" s="31" t="str">
        <x:v>开发Agent</x:v>
      </x:c>
      <x:c r="P119" s="31" t="str">
        <x:v>I17</x:v>
      </x:c>
      <x:c r="Q119" s="31" t="str">
        <x:v>S5-C 对账结算</x:v>
      </x:c>
      <x:c r="R119" s="33"/>
      <x:c r="S119" s="33"/>
      <x:c r="T119" s="31" t="str">
        <x:v>未开始</x:v>
      </x:c>
      <x:c r="U119" s="29" t="str">
        <x:v>ERP应付与付款状态回传接口契约、实现、幂等/补偿与联调用例</x:v>
      </x:c>
      <x:c r="V119" s="29" t="str">
        <x:v>主流程、重复、乱序、失败重试和对账场景通过；业务状态不被接口失败误改</x:v>
      </x:c>
      <x:c r="W119" s="31" t="str">
        <x:v>待执行</x:v>
      </x:c>
      <x:c r="X119" s="31" t="str">
        <x:v>待执行</x:v>
      </x:c>
      <x:c r="Y119" s="31" t="str">
        <x:v>待执行</x:v>
      </x:c>
      <x:c r="Z119" s="31" t="str">
        <x:v>待执行</x:v>
      </x:c>
      <x:c r="AA119" s="33"/>
      <x:c r="AB119" s="29" t="str"/>
    </x:row>
    <x:row r="120" ht="42" customHeight="1">
      <x:c r="A120" s="31" t="n">
        <x:v>115</x:v>
      </x:c>
      <x:c r="B120" s="31" t="str">
        <x:v>S5-020</x:v>
      </x:c>
      <x:c r="C120" s="31" t="str">
        <x:v>阶段5：质量与结算闭环</x:v>
      </x:c>
      <x:c r="D120" s="31" t="str">
        <x:v>V1.0基线</x:v>
      </x:c>
      <x:c r="E120" s="31" t="str">
        <x:v>端到端验收</x:v>
      </x:c>
      <x:c r="F120" s="31" t="str">
        <x:v>质量结算</x:v>
      </x:c>
      <x:c r="G120" s="31" t="str">
        <x:v>质量异常与对账付款场景</x:v>
      </x:c>
      <x:c r="H120" s="31" t="str">
        <x:v>测试</x:v>
      </x:c>
      <x:c r="I120" s="29" t="str">
        <x:v>tests/e2e-quality-settlement</x:v>
      </x:c>
      <x:c r="J120" s="29" t="str">
        <x:v>验证IQC不合格、退货、8D、复验、供应源限制、对账差异、发票和付款回传。</x:v>
      </x:c>
      <x:c r="K120" s="29" t="str">
        <x:v>覆盖特采、重复检验、质量扣款、差异重开、未付款误显示和供应商越权负向用例。</x:v>
      </x:c>
      <x:c r="L120" s="29" t="str">
        <x:v>S5-001:S5-019</x:v>
      </x:c>
      <x:c r="M120" s="31" t="str">
        <x:v>P0</x:v>
      </x:c>
      <x:c r="N120" s="31" t="str">
        <x:v>XL</x:v>
      </x:c>
      <x:c r="O120" s="31" t="str">
        <x:v>Codex复核/用户验收</x:v>
      </x:c>
      <x:c r="P120" s="31" t="str">
        <x:v>I17</x:v>
      </x:c>
      <x:c r="Q120" s="31" t="str">
        <x:v>S5-D 阶段验收</x:v>
      </x:c>
      <x:c r="R120" s="33"/>
      <x:c r="S120" s="33"/>
      <x:c r="T120" s="31" t="str">
        <x:v>未开始</x:v>
      </x:c>
      <x:c r="U120" s="29" t="str">
        <x:v>质量异常与对账付款场景测试脚本、缺陷清单与报告</x:v>
      </x:c>
      <x:c r="V120" s="29" t="str">
        <x:v>正向、负向、越权和异常场景通过；P0/P1缺陷关闭</x:v>
      </x:c>
      <x:c r="W120" s="31" t="str">
        <x:v>待执行</x:v>
      </x:c>
      <x:c r="X120" s="31" t="str">
        <x:v>待执行</x:v>
      </x:c>
      <x:c r="Y120" s="31" t="str">
        <x:v>待执行</x:v>
      </x:c>
      <x:c r="Z120" s="31" t="str">
        <x:v>不适用</x:v>
      </x:c>
      <x:c r="AA120" s="33"/>
      <x:c r="AB120" s="29" t="str"/>
    </x:row>
    <x:row r="121" ht="42" customHeight="1">
      <x:c r="A121" s="31" t="n">
        <x:v>116</x:v>
      </x:c>
      <x:c r="B121" s="31" t="str">
        <x:v>S6-001</x:v>
      </x:c>
      <x:c r="C121" s="31" t="str">
        <x:v>阶段6：绩效风险与优化</x:v>
      </x:c>
      <x:c r="D121" s="31" t="str">
        <x:v>V1.0基线</x:v>
      </x:c>
      <x:c r="E121" s="31" t="str">
        <x:v>绩效与风险管理</x:v>
      </x:c>
      <x:c r="F121" s="31" t="str">
        <x:v>指标口径</x:v>
      </x:c>
      <x:c r="G121" s="31" t="str">
        <x:v>绩效指标目录与口径</x:v>
      </x:c>
      <x:c r="H121" s="31" t="str">
        <x:v>功能</x:v>
      </x:c>
      <x:c r="I121" s="29" t="str">
        <x:v>performance/metric</x:v>
      </x:c>
      <x:c r="J121" s="29" t="str">
        <x:v>定义准入、寻源、确认、交付、质量、对账、响应和双供等指标公式与数据源。</x:v>
      </x:c>
      <x:c r="K121" s="29" t="str">
        <x:v>口径包含周期、样本、缺失值、封顶/保底和重算规则。</x:v>
      </x:c>
      <x:c r="L121" s="29" t="str">
        <x:v>阶段4、阶段5完成</x:v>
      </x:c>
      <x:c r="M121" s="31" t="str">
        <x:v>P0</x:v>
      </x:c>
      <x:c r="N121" s="31" t="str">
        <x:v>L</x:v>
      </x:c>
      <x:c r="O121" s="31" t="str">
        <x:v>开发Agent</x:v>
      </x:c>
      <x:c r="P121" s="31" t="str">
        <x:v>I18</x:v>
      </x:c>
      <x:c r="Q121" s="31" t="str">
        <x:v>S6-A 绩效</x:v>
      </x:c>
      <x:c r="R121" s="33"/>
      <x:c r="S121" s="33"/>
      <x:c r="T121" s="31" t="str">
        <x:v>未开始</x:v>
      </x:c>
      <x:c r="U121" s="29" t="str">
        <x:v>绩效指标目录与口径前后端功能、数据库迁移、权限点、接口及测试用例</x:v>
      </x:c>
      <x:c r="V121" s="29" t="str">
        <x:v>主路径可运行；权限、状态、异常、版本和审计校验通过；构建无错误</x:v>
      </x:c>
      <x:c r="W121" s="31" t="str">
        <x:v>待执行</x:v>
      </x:c>
      <x:c r="X121" s="31" t="str">
        <x:v>待执行</x:v>
      </x:c>
      <x:c r="Y121" s="31" t="str">
        <x:v>待执行</x:v>
      </x:c>
      <x:c r="Z121" s="31" t="str">
        <x:v>待执行</x:v>
      </x:c>
      <x:c r="AA121" s="33"/>
      <x:c r="AB121" s="29" t="str"/>
    </x:row>
    <x:row r="122" ht="42" customHeight="1">
      <x:c r="A122" s="31" t="n">
        <x:v>117</x:v>
      </x:c>
      <x:c r="B122" s="31" t="str">
        <x:v>S6-002</x:v>
      </x:c>
      <x:c r="C122" s="31" t="str">
        <x:v>阶段6：绩效风险与优化</x:v>
      </x:c>
      <x:c r="D122" s="31" t="str">
        <x:v>V1.0基线</x:v>
      </x:c>
      <x:c r="E122" s="31" t="str">
        <x:v>绩效与风险管理</x:v>
      </x:c>
      <x:c r="F122" s="31" t="str">
        <x:v>事实聚合</x:v>
      </x:c>
      <x:c r="G122" s="31" t="str">
        <x:v>绩效事实聚合与数据质量</x:v>
      </x:c>
      <x:c r="H122" s="31" t="str">
        <x:v>功能</x:v>
      </x:c>
      <x:c r="I122" s="29" t="str">
        <x:v>performance/fact</x:v>
      </x:c>
      <x:c r="J122" s="29" t="str">
        <x:v>按供应商/站点/品类/物料/工厂/周期聚合执行事实并记录数据时间。</x:v>
      </x:c>
      <x:c r="K122" s="29" t="str">
        <x:v>聚合可钻取权威事实；缺失和异常样本可识别。</x:v>
      </x:c>
      <x:c r="L122" s="29" t="str">
        <x:v>S6-001</x:v>
      </x:c>
      <x:c r="M122" s="31" t="str">
        <x:v>P0</x:v>
      </x:c>
      <x:c r="N122" s="31" t="str">
        <x:v>XL</x:v>
      </x:c>
      <x:c r="O122" s="31" t="str">
        <x:v>开发Agent</x:v>
      </x:c>
      <x:c r="P122" s="31" t="str">
        <x:v>I18</x:v>
      </x:c>
      <x:c r="Q122" s="31" t="str">
        <x:v>S6-A 绩效</x:v>
      </x:c>
      <x:c r="R122" s="33"/>
      <x:c r="S122" s="33"/>
      <x:c r="T122" s="31" t="str">
        <x:v>未开始</x:v>
      </x:c>
      <x:c r="U122" s="29" t="str">
        <x:v>绩效事实聚合与数据质量前后端功能、数据库迁移、权限点、接口及测试用例</x:v>
      </x:c>
      <x:c r="V122" s="29" t="str">
        <x:v>主路径可运行；权限、状态、异常、版本和审计校验通过；构建无错误</x:v>
      </x:c>
      <x:c r="W122" s="31" t="str">
        <x:v>待执行</x:v>
      </x:c>
      <x:c r="X122" s="31" t="str">
        <x:v>待执行</x:v>
      </x:c>
      <x:c r="Y122" s="31" t="str">
        <x:v>待执行</x:v>
      </x:c>
      <x:c r="Z122" s="31" t="str">
        <x:v>待执行</x:v>
      </x:c>
      <x:c r="AA122" s="33"/>
      <x:c r="AB122" s="29" t="str"/>
    </x:row>
    <x:row r="123" ht="42" customHeight="1">
      <x:c r="A123" s="31" t="n">
        <x:v>118</x:v>
      </x:c>
      <x:c r="B123" s="31" t="str">
        <x:v>S6-003</x:v>
      </x:c>
      <x:c r="C123" s="31" t="str">
        <x:v>阶段6：绩效风险与优化</x:v>
      </x:c>
      <x:c r="D123" s="31" t="str">
        <x:v>V1.0基线</x:v>
      </x:c>
      <x:c r="E123" s="31" t="str">
        <x:v>绩效与风险管理</x:v>
      </x:c>
      <x:c r="F123" s="31" t="str">
        <x:v>评分模型</x:v>
      </x:c>
      <x:c r="G123" s="31" t="str">
        <x:v>评分权重评级与一票否决</x:v>
      </x:c>
      <x:c r="H123" s="31" t="str">
        <x:v>功能</x:v>
      </x:c>
      <x:c r="I123" s="29" t="str">
        <x:v>performance/model</x:v>
      </x:c>
      <x:c r="J123" s="29" t="str">
        <x:v>按品类、供应商类型和风险配置权重、等级、阈值和严重事件上限。</x:v>
      </x:c>
      <x:c r="K123" s="29" t="str">
        <x:v>一套权重不强制适用于全部供应商；模型版本冻结。</x:v>
      </x:c>
      <x:c r="L123" s="29" t="str">
        <x:v>S6-001,S1-015</x:v>
      </x:c>
      <x:c r="M123" s="31" t="str">
        <x:v>P0</x:v>
      </x:c>
      <x:c r="N123" s="31" t="str">
        <x:v>L</x:v>
      </x:c>
      <x:c r="O123" s="31" t="str">
        <x:v>开发Agent</x:v>
      </x:c>
      <x:c r="P123" s="31" t="str">
        <x:v>I18</x:v>
      </x:c>
      <x:c r="Q123" s="31" t="str">
        <x:v>S6-A 绩效</x:v>
      </x:c>
      <x:c r="R123" s="33"/>
      <x:c r="S123" s="33"/>
      <x:c r="T123" s="31" t="str">
        <x:v>未开始</x:v>
      </x:c>
      <x:c r="U123" s="29" t="str">
        <x:v>评分权重评级与一票否决前后端功能、数据库迁移、权限点、接口及测试用例</x:v>
      </x:c>
      <x:c r="V123" s="29" t="str">
        <x:v>主路径可运行；权限、状态、异常、版本和审计校验通过；构建无错误</x:v>
      </x:c>
      <x:c r="W123" s="31" t="str">
        <x:v>待执行</x:v>
      </x:c>
      <x:c r="X123" s="31" t="str">
        <x:v>待执行</x:v>
      </x:c>
      <x:c r="Y123" s="31" t="str">
        <x:v>待执行</x:v>
      </x:c>
      <x:c r="Z123" s="31" t="str">
        <x:v>待执行</x:v>
      </x:c>
      <x:c r="AA123" s="33"/>
      <x:c r="AB123" s="29" t="str"/>
    </x:row>
    <x:row r="124" ht="42" customHeight="1">
      <x:c r="A124" s="31" t="n">
        <x:v>119</x:v>
      </x:c>
      <x:c r="B124" s="31" t="str">
        <x:v>S6-004</x:v>
      </x:c>
      <x:c r="C124" s="31" t="str">
        <x:v>阶段6：绩效风险与优化</x:v>
      </x:c>
      <x:c r="D124" s="31" t="str">
        <x:v>V1.0基线</x:v>
      </x:c>
      <x:c r="E124" s="31" t="str">
        <x:v>绩效与风险管理</x:v>
      </x:c>
      <x:c r="F124" s="31" t="str">
        <x:v>评分发布</x:v>
      </x:c>
      <x:c r="G124" s="31" t="str">
        <x:v>评分周期计算审核与发布</x:v>
      </x:c>
      <x:c r="H124" s="31" t="str">
        <x:v>功能</x:v>
      </x:c>
      <x:c r="I124" s="29" t="str">
        <x:v>performance/score</x:v>
      </x:c>
      <x:c r="J124" s="29" t="str">
        <x:v>执行评分计算、抽样复核、审批、发布、供应商可见范围和历史版本。</x:v>
      </x:c>
      <x:c r="K124" s="29" t="str">
        <x:v>已发布版本不可覆盖；内部排名和敏感成本不对外。</x:v>
      </x:c>
      <x:c r="L124" s="29" t="str">
        <x:v>S6-002,S6-003,S1-009</x:v>
      </x:c>
      <x:c r="M124" s="31" t="str">
        <x:v>P0</x:v>
      </x:c>
      <x:c r="N124" s="31" t="str">
        <x:v>XL</x:v>
      </x:c>
      <x:c r="O124" s="31" t="str">
        <x:v>开发Agent</x:v>
      </x:c>
      <x:c r="P124" s="31" t="str">
        <x:v>I18</x:v>
      </x:c>
      <x:c r="Q124" s="31" t="str">
        <x:v>S6-A 绩效</x:v>
      </x:c>
      <x:c r="R124" s="33"/>
      <x:c r="S124" s="33"/>
      <x:c r="T124" s="31" t="str">
        <x:v>未开始</x:v>
      </x:c>
      <x:c r="U124" s="29" t="str">
        <x:v>评分周期计算审核与发布前后端功能、数据库迁移、权限点、接口及测试用例</x:v>
      </x:c>
      <x:c r="V124" s="29" t="str">
        <x:v>主路径可运行；权限、状态、异常、版本和审计校验通过；构建无错误</x:v>
      </x:c>
      <x:c r="W124" s="31" t="str">
        <x:v>待执行</x:v>
      </x:c>
      <x:c r="X124" s="31" t="str">
        <x:v>待执行</x:v>
      </x:c>
      <x:c r="Y124" s="31" t="str">
        <x:v>待执行</x:v>
      </x:c>
      <x:c r="Z124" s="31" t="str">
        <x:v>待执行</x:v>
      </x:c>
      <x:c r="AA124" s="33"/>
      <x:c r="AB124" s="29" t="str"/>
    </x:row>
    <x:row r="125" ht="42" customHeight="1">
      <x:c r="A125" s="31" t="n">
        <x:v>120</x:v>
      </x:c>
      <x:c r="B125" s="31" t="str">
        <x:v>S6-005</x:v>
      </x:c>
      <x:c r="C125" s="31" t="str">
        <x:v>阶段6：绩效风险与优化</x:v>
      </x:c>
      <x:c r="D125" s="31" t="str">
        <x:v>V1.0基线</x:v>
      </x:c>
      <x:c r="E125" s="31" t="str">
        <x:v>绩效与风险管理</x:v>
      </x:c>
      <x:c r="F125" s="31" t="str">
        <x:v>申诉更正</x:v>
      </x:c>
      <x:c r="G125" s="31" t="str">
        <x:v>绩效申诉与更正版本</x:v>
      </x:c>
      <x:c r="H125" s="31" t="str">
        <x:v>功能</x:v>
      </x:c>
      <x:c r="I125" s="29" t="str">
        <x:v>performance/appeal</x:v>
      </x:c>
      <x:c r="J125" s="29" t="str">
        <x:v>供应商对授权事实/分数申诉，内部处理后形成维持或更正版本。</x:v>
      </x:c>
      <x:c r="K125" s="29" t="str">
        <x:v>更正保留原版本、原因、审批和影响。</x:v>
      </x:c>
      <x:c r="L125" s="29" t="str">
        <x:v>S6-004,S2-014</x:v>
      </x:c>
      <x:c r="M125" s="31" t="str">
        <x:v>P1</x:v>
      </x:c>
      <x:c r="N125" s="31" t="str">
        <x:v>L</x:v>
      </x:c>
      <x:c r="O125" s="31" t="str">
        <x:v>开发Agent</x:v>
      </x:c>
      <x:c r="P125" s="31" t="str">
        <x:v>I18</x:v>
      </x:c>
      <x:c r="Q125" s="31" t="str">
        <x:v>S6-A 绩效</x:v>
      </x:c>
      <x:c r="R125" s="33"/>
      <x:c r="S125" s="33"/>
      <x:c r="T125" s="31" t="str">
        <x:v>未开始</x:v>
      </x:c>
      <x:c r="U125" s="29" t="str">
        <x:v>绩效申诉与更正版本前后端功能、数据库迁移、权限点、接口及测试用例</x:v>
      </x:c>
      <x:c r="V125" s="29" t="str">
        <x:v>主路径可运行；权限、状态、异常、版本和审计校验通过；构建无错误</x:v>
      </x:c>
      <x:c r="W125" s="31" t="str">
        <x:v>待执行</x:v>
      </x:c>
      <x:c r="X125" s="31" t="str">
        <x:v>待执行</x:v>
      </x:c>
      <x:c r="Y125" s="31" t="str">
        <x:v>待执行</x:v>
      </x:c>
      <x:c r="Z125" s="31" t="str">
        <x:v>待执行</x:v>
      </x:c>
      <x:c r="AA125" s="33"/>
      <x:c r="AB125" s="29" t="str"/>
    </x:row>
    <x:row r="126" ht="42" customHeight="1">
      <x:c r="A126" s="31" t="n">
        <x:v>121</x:v>
      </x:c>
      <x:c r="B126" s="31" t="str">
        <x:v>S6-006</x:v>
      </x:c>
      <x:c r="C126" s="31" t="str">
        <x:v>阶段6：绩效风险与优化</x:v>
      </x:c>
      <x:c r="D126" s="31" t="str">
        <x:v>V1.0基线</x:v>
      </x:c>
      <x:c r="E126" s="31" t="str">
        <x:v>绩效与风险管理</x:v>
      </x:c>
      <x:c r="F126" s="31" t="str">
        <x:v>风险目录</x:v>
      </x:c>
      <x:c r="G126" s="31" t="str">
        <x:v>供应风险分类与规则</x:v>
      </x:c>
      <x:c r="H126" s="31" t="str">
        <x:v>功能</x:v>
      </x:c>
      <x:c r="I126" s="29" t="str">
        <x:v>risk/catalog</x:v>
      </x:c>
      <x:c r="J126" s="29" t="str">
        <x:v>配置合规、财务、产能、交付、质量、单一来源、地域和合同等风险。</x:v>
      </x:c>
      <x:c r="K126" s="29" t="str">
        <x:v>风险信号、严重度、影响范围和处置策略版本化。</x:v>
      </x:c>
      <x:c r="L126" s="29" t="str">
        <x:v>S6-001,S1-015</x:v>
      </x:c>
      <x:c r="M126" s="31" t="str">
        <x:v>P0</x:v>
      </x:c>
      <x:c r="N126" s="31" t="str">
        <x:v>L</x:v>
      </x:c>
      <x:c r="O126" s="31" t="str">
        <x:v>开发Agent</x:v>
      </x:c>
      <x:c r="P126" s="31" t="str">
        <x:v>I19</x:v>
      </x:c>
      <x:c r="Q126" s="31" t="str">
        <x:v>S6-B 风险治理</x:v>
      </x:c>
      <x:c r="R126" s="33"/>
      <x:c r="S126" s="33"/>
      <x:c r="T126" s="31" t="str">
        <x:v>未开始</x:v>
      </x:c>
      <x:c r="U126" s="29" t="str">
        <x:v>供应风险分类与规则前后端功能、数据库迁移、权限点、接口及测试用例</x:v>
      </x:c>
      <x:c r="V126" s="29" t="str">
        <x:v>主路径可运行；权限、状态、异常、版本和审计校验通过；构建无错误</x:v>
      </x:c>
      <x:c r="W126" s="31" t="str">
        <x:v>待执行</x:v>
      </x:c>
      <x:c r="X126" s="31" t="str">
        <x:v>待执行</x:v>
      </x:c>
      <x:c r="Y126" s="31" t="str">
        <x:v>待执行</x:v>
      </x:c>
      <x:c r="Z126" s="31" t="str">
        <x:v>待执行</x:v>
      </x:c>
      <x:c r="AA126" s="33"/>
      <x:c r="AB126" s="29" t="str"/>
    </x:row>
    <x:row r="127" ht="42" customHeight="1">
      <x:c r="A127" s="31" t="n">
        <x:v>122</x:v>
      </x:c>
      <x:c r="B127" s="31" t="str">
        <x:v>S6-007</x:v>
      </x:c>
      <x:c r="C127" s="31" t="str">
        <x:v>阶段6：绩效风险与优化</x:v>
      </x:c>
      <x:c r="D127" s="31" t="str">
        <x:v>V1.0基线</x:v>
      </x:c>
      <x:c r="E127" s="31" t="str">
        <x:v>绩效与风险管理</x:v>
      </x:c>
      <x:c r="F127" s="31" t="str">
        <x:v>风险事件</x:v>
      </x:c>
      <x:c r="G127" s="31" t="str">
        <x:v>风险识别预警与升级</x:v>
      </x:c>
      <x:c r="H127" s="31" t="str">
        <x:v>功能</x:v>
      </x:c>
      <x:c r="I127" s="29" t="str">
        <x:v>risk/event</x:v>
      </x:c>
      <x:c r="J127" s="29" t="str">
        <x:v>由业务事件、阈值或人工识别风险，分派、评估、处置、监控和关闭。</x:v>
      </x:c>
      <x:c r="K127" s="29" t="str">
        <x:v>重大风险可即时限制新业务；预警可钻取事实。</x:v>
      </x:c>
      <x:c r="L127" s="29" t="str">
        <x:v>S6-006,S1-010,S1-012</x:v>
      </x:c>
      <x:c r="M127" s="31" t="str">
        <x:v>P0</x:v>
      </x:c>
      <x:c r="N127" s="31" t="str">
        <x:v>XL</x:v>
      </x:c>
      <x:c r="O127" s="31" t="str">
        <x:v>开发Agent</x:v>
      </x:c>
      <x:c r="P127" s="31" t="str">
        <x:v>I19</x:v>
      </x:c>
      <x:c r="Q127" s="31" t="str">
        <x:v>S6-B 风险治理</x:v>
      </x:c>
      <x:c r="R127" s="33"/>
      <x:c r="S127" s="33"/>
      <x:c r="T127" s="31" t="str">
        <x:v>未开始</x:v>
      </x:c>
      <x:c r="U127" s="29" t="str">
        <x:v>风险识别预警与升级前后端功能、数据库迁移、权限点、接口及测试用例</x:v>
      </x:c>
      <x:c r="V127" s="29" t="str">
        <x:v>主路径可运行；权限、状态、异常、版本和审计校验通过；构建无错误</x:v>
      </x:c>
      <x:c r="W127" s="31" t="str">
        <x:v>待执行</x:v>
      </x:c>
      <x:c r="X127" s="31" t="str">
        <x:v>待执行</x:v>
      </x:c>
      <x:c r="Y127" s="31" t="str">
        <x:v>待执行</x:v>
      </x:c>
      <x:c r="Z127" s="31" t="str">
        <x:v>待执行</x:v>
      </x:c>
      <x:c r="AA127" s="33"/>
      <x:c r="AB127" s="29" t="str"/>
    </x:row>
    <x:row r="128" ht="42" customHeight="1">
      <x:c r="A128" s="31" t="n">
        <x:v>123</x:v>
      </x:c>
      <x:c r="B128" s="31" t="str">
        <x:v>S6-008</x:v>
      </x:c>
      <x:c r="C128" s="31" t="str">
        <x:v>阶段6：绩效风险与优化</x:v>
      </x:c>
      <x:c r="D128" s="31" t="str">
        <x:v>V1.0基线</x:v>
      </x:c>
      <x:c r="E128" s="31" t="str">
        <x:v>绩效与风险管理</x:v>
      </x:c>
      <x:c r="F128" s="31" t="str">
        <x:v>改善计划</x:v>
      </x:c>
      <x:c r="G128" s="31" t="str">
        <x:v>供应商改善计划</x:v>
      </x:c>
      <x:c r="H128" s="31" t="str">
        <x:v>功能</x:v>
      </x:c>
      <x:c r="I128" s="29" t="str">
        <x:v>risk/improvement</x:v>
      </x:c>
      <x:c r="J128" s="29" t="str">
        <x:v>建立目标、措施、责任人、里程碑、证据、效果验证和逾期升级。</x:v>
      </x:c>
      <x:c r="K128" s="29" t="str">
        <x:v>关闭需量化验证；失败可升级为供应决策。</x:v>
      </x:c>
      <x:c r="L128" s="29" t="str">
        <x:v>S6-004,S6-007</x:v>
      </x:c>
      <x:c r="M128" s="31" t="str">
        <x:v>P0</x:v>
      </x:c>
      <x:c r="N128" s="31" t="str">
        <x:v>L</x:v>
      </x:c>
      <x:c r="O128" s="31" t="str">
        <x:v>开发Agent</x:v>
      </x:c>
      <x:c r="P128" s="31" t="str">
        <x:v>I19</x:v>
      </x:c>
      <x:c r="Q128" s="31" t="str">
        <x:v>S6-B 风险治理</x:v>
      </x:c>
      <x:c r="R128" s="33"/>
      <x:c r="S128" s="33"/>
      <x:c r="T128" s="31" t="str">
        <x:v>未开始</x:v>
      </x:c>
      <x:c r="U128" s="29" t="str">
        <x:v>供应商改善计划前后端功能、数据库迁移、权限点、接口及测试用例</x:v>
      </x:c>
      <x:c r="V128" s="29" t="str">
        <x:v>主路径可运行；权限、状态、异常、版本和审计校验通过；构建无错误</x:v>
      </x:c>
      <x:c r="W128" s="31" t="str">
        <x:v>待执行</x:v>
      </x:c>
      <x:c r="X128" s="31" t="str">
        <x:v>待执行</x:v>
      </x:c>
      <x:c r="Y128" s="31" t="str">
        <x:v>待执行</x:v>
      </x:c>
      <x:c r="Z128" s="31" t="str">
        <x:v>待执行</x:v>
      </x:c>
      <x:c r="AA128" s="33"/>
      <x:c r="AB128" s="29" t="str"/>
    </x:row>
    <x:row r="129" ht="42" customHeight="1">
      <x:c r="A129" s="31" t="n">
        <x:v>124</x:v>
      </x:c>
      <x:c r="B129" s="31" t="str">
        <x:v>S6-009</x:v>
      </x:c>
      <x:c r="C129" s="31" t="str">
        <x:v>阶段6：绩效风险与优化</x:v>
      </x:c>
      <x:c r="D129" s="31" t="str">
        <x:v>V1.0基线</x:v>
      </x:c>
      <x:c r="E129" s="31" t="str">
        <x:v>绩效与风险管理</x:v>
      </x:c>
      <x:c r="F129" s="31" t="str">
        <x:v>供应决策</x:v>
      </x:c>
      <x:c r="G129" s="31" t="str">
        <x:v>份额限制冻结淘汰决策G8</x:v>
      </x:c>
      <x:c r="H129" s="31" t="str">
        <x:v>功能</x:v>
      </x:c>
      <x:c r="I129" s="29" t="str">
        <x:v>risk/decision</x:v>
      </x:c>
      <x:c r="J129" s="29" t="str">
        <x:v>基于评分、风险、改善和开放订单形成增/降份额、限制、冻结、淘汰或恢复建议。</x:v>
      </x:c>
      <x:c r="K129" s="29" t="str">
        <x:v>决策经授权审批；只影响新业务并生成开放订单处置。</x:v>
      </x:c>
      <x:c r="L129" s="29" t="str">
        <x:v>S6-004,S6-007,S6-008,S1-009</x:v>
      </x:c>
      <x:c r="M129" s="31" t="str">
        <x:v>P0</x:v>
      </x:c>
      <x:c r="N129" s="31" t="str">
        <x:v>XL</x:v>
      </x:c>
      <x:c r="O129" s="31" t="str">
        <x:v>开发Agent</x:v>
      </x:c>
      <x:c r="P129" s="31" t="str">
        <x:v>I19</x:v>
      </x:c>
      <x:c r="Q129" s="31" t="str">
        <x:v>S6-B 风险治理</x:v>
      </x:c>
      <x:c r="R129" s="33"/>
      <x:c r="S129" s="33"/>
      <x:c r="T129" s="31" t="str">
        <x:v>未开始</x:v>
      </x:c>
      <x:c r="U129" s="29" t="str">
        <x:v>份额限制冻结淘汰决策G8前后端功能、数据库迁移、权限点、接口及测试用例</x:v>
      </x:c>
      <x:c r="V129" s="29" t="str">
        <x:v>主路径可运行；权限、状态、异常、版本和审计校验通过；构建无错误</x:v>
      </x:c>
      <x:c r="W129" s="31" t="str">
        <x:v>待执行</x:v>
      </x:c>
      <x:c r="X129" s="31" t="str">
        <x:v>待执行</x:v>
      </x:c>
      <x:c r="Y129" s="31" t="str">
        <x:v>待执行</x:v>
      </x:c>
      <x:c r="Z129" s="31" t="str">
        <x:v>待执行</x:v>
      </x:c>
      <x:c r="AA129" s="33"/>
      <x:c r="AB129" s="29" t="str"/>
    </x:row>
    <x:row r="130" ht="42" customHeight="1">
      <x:c r="A130" s="31" t="n">
        <x:v>125</x:v>
      </x:c>
      <x:c r="B130" s="31" t="str">
        <x:v>S6-010</x:v>
      </x:c>
      <x:c r="C130" s="31" t="str">
        <x:v>阶段6：绩效风险与优化</x:v>
      </x:c>
      <x:c r="D130" s="31" t="str">
        <x:v>V1.0基线</x:v>
      </x:c>
      <x:c r="E130" s="31" t="str">
        <x:v>供应源管理</x:v>
      </x:c>
      <x:c r="F130" s="31" t="str">
        <x:v>配额治理</x:v>
      </x:c>
      <x:c r="G130" s="31" t="str">
        <x:v>供应配额版本与执行反馈</x:v>
      </x:c>
      <x:c r="H130" s="31" t="str">
        <x:v>功能</x:v>
      </x:c>
      <x:c r="I130" s="29" t="str">
        <x:v>source/quota</x:v>
      </x:c>
      <x:c r="J130" s="29" t="str">
        <x:v>维护目标配额、有效期、审批和累计执行，支持风险/绩效驱动调整。</x:v>
      </x:c>
      <x:c r="K130" s="29" t="str">
        <x:v>配额不等于定标份额或实际分配；调整不改历史。</x:v>
      </x:c>
      <x:c r="L130" s="29" t="str">
        <x:v>S6-009,S4-008</x:v>
      </x:c>
      <x:c r="M130" s="31" t="str">
        <x:v>P0</x:v>
      </x:c>
      <x:c r="N130" s="31" t="str">
        <x:v>XL</x:v>
      </x:c>
      <x:c r="O130" s="31" t="str">
        <x:v>开发Agent</x:v>
      </x:c>
      <x:c r="P130" s="31" t="str">
        <x:v>I19</x:v>
      </x:c>
      <x:c r="Q130" s="31" t="str">
        <x:v>S6-B 风险治理</x:v>
      </x:c>
      <x:c r="R130" s="33"/>
      <x:c r="S130" s="33"/>
      <x:c r="T130" s="31" t="str">
        <x:v>未开始</x:v>
      </x:c>
      <x:c r="U130" s="29" t="str">
        <x:v>供应配额版本与执行反馈前后端功能、数据库迁移、权限点、接口及测试用例</x:v>
      </x:c>
      <x:c r="V130" s="29" t="str">
        <x:v>主路径可运行；权限、状态、异常、版本和审计校验通过；构建无错误</x:v>
      </x:c>
      <x:c r="W130" s="31" t="str">
        <x:v>待执行</x:v>
      </x:c>
      <x:c r="X130" s="31" t="str">
        <x:v>待执行</x:v>
      </x:c>
      <x:c r="Y130" s="31" t="str">
        <x:v>待执行</x:v>
      </x:c>
      <x:c r="Z130" s="31" t="str">
        <x:v>待执行</x:v>
      </x:c>
      <x:c r="AA130" s="33"/>
      <x:c r="AB130" s="29" t="str"/>
    </x:row>
    <x:row r="131" ht="42" customHeight="1">
      <x:c r="A131" s="31" t="n">
        <x:v>126</x:v>
      </x:c>
      <x:c r="B131" s="31" t="str">
        <x:v>S6-011</x:v>
      </x:c>
      <x:c r="C131" s="31" t="str">
        <x:v>阶段6：绩效风险与优化</x:v>
      </x:c>
      <x:c r="D131" s="31" t="str">
        <x:v>V1.0基线</x:v>
      </x:c>
      <x:c r="E131" s="31" t="str">
        <x:v>绩效与风险管理</x:v>
      </x:c>
      <x:c r="F131" s="31" t="str">
        <x:v>双供覆盖</x:v>
      </x:c>
      <x:c r="G131" s="31" t="str">
        <x:v>关键物料第二供应源计划</x:v>
      </x:c>
      <x:c r="H131" s="31" t="str">
        <x:v>功能</x:v>
      </x:c>
      <x:c r="I131" s="29" t="str">
        <x:v>risk/dual-source</x:v>
      </x:c>
      <x:c r="J131" s="29" t="str">
        <x:v>识别单一来源关键物料，创建第二供应源计划并关联寻源、试制和转化进度。</x:v>
      </x:c>
      <x:c r="K131" s="29" t="str">
        <x:v>覆盖率仅统计两个及以上有效正式源且具备可用能力。</x:v>
      </x:c>
      <x:c r="L131" s="29" t="str">
        <x:v>S6-006,S6-010,S3-001</x:v>
      </x:c>
      <x:c r="M131" s="31" t="str">
        <x:v>P1</x:v>
      </x:c>
      <x:c r="N131" s="31" t="str">
        <x:v>L</x:v>
      </x:c>
      <x:c r="O131" s="31" t="str">
        <x:v>开发Agent</x:v>
      </x:c>
      <x:c r="P131" s="31" t="str">
        <x:v>I19</x:v>
      </x:c>
      <x:c r="Q131" s="31" t="str">
        <x:v>S6-B 风险治理</x:v>
      </x:c>
      <x:c r="R131" s="33"/>
      <x:c r="S131" s="33"/>
      <x:c r="T131" s="31" t="str">
        <x:v>未开始</x:v>
      </x:c>
      <x:c r="U131" s="29" t="str">
        <x:v>关键物料第二供应源计划前后端功能、数据库迁移、权限点、接口及测试用例</x:v>
      </x:c>
      <x:c r="V131" s="29" t="str">
        <x:v>主路径可运行；权限、状态、异常、版本和审计校验通过；构建无错误</x:v>
      </x:c>
      <x:c r="W131" s="31" t="str">
        <x:v>待执行</x:v>
      </x:c>
      <x:c r="X131" s="31" t="str">
        <x:v>待执行</x:v>
      </x:c>
      <x:c r="Y131" s="31" t="str">
        <x:v>待执行</x:v>
      </x:c>
      <x:c r="Z131" s="31" t="str">
        <x:v>待执行</x:v>
      </x:c>
      <x:c r="AA131" s="33"/>
      <x:c r="AB131" s="29" t="str"/>
    </x:row>
    <x:row r="132" ht="42" customHeight="1">
      <x:c r="A132" s="31" t="n">
        <x:v>127</x:v>
      </x:c>
      <x:c r="B132" s="31" t="str">
        <x:v>S6-012</x:v>
      </x:c>
      <x:c r="C132" s="31" t="str">
        <x:v>阶段6：绩效风险与优化</x:v>
      </x:c>
      <x:c r="D132" s="31" t="str">
        <x:v>V1.0基线</x:v>
      </x:c>
      <x:c r="E132" s="31" t="str">
        <x:v>工作台</x:v>
      </x:c>
      <x:c r="F132" s="31" t="str">
        <x:v>管理驾驶舱</x:v>
      </x:c>
      <x:c r="G132" s="31" t="str">
        <x:v>管理工作台指标风险与进度</x:v>
      </x:c>
      <x:c r="H132" s="31" t="str">
        <x:v>功能</x:v>
      </x:c>
      <x:c r="I132" s="29" t="str">
        <x:v>workbench/management</x:v>
      </x:c>
      <x:c r="J132" s="29" t="str">
        <x:v>汇总角色KPI、逾期任务、供应风险、关键料双供、寻源/转化/交付/质量/结算进度。</x:v>
      </x:c>
      <x:c r="K132" s="29" t="str">
        <x:v>指标显示口径和数据时间，可钻取权限范围内事实。</x:v>
      </x:c>
      <x:c r="L132" s="29" t="str">
        <x:v>S6-001:S6-011,S1-011</x:v>
      </x:c>
      <x:c r="M132" s="31" t="str">
        <x:v>P0</x:v>
      </x:c>
      <x:c r="N132" s="31" t="str">
        <x:v>XL</x:v>
      </x:c>
      <x:c r="O132" s="31" t="str">
        <x:v>开发Agent</x:v>
      </x:c>
      <x:c r="P132" s="31" t="str">
        <x:v>I20</x:v>
      </x:c>
      <x:c r="Q132" s="31" t="str">
        <x:v>S6-C 发布验收</x:v>
      </x:c>
      <x:c r="R132" s="33"/>
      <x:c r="S132" s="33"/>
      <x:c r="T132" s="31" t="str">
        <x:v>未开始</x:v>
      </x:c>
      <x:c r="U132" s="29" t="str">
        <x:v>管理工作台指标风险与进度前后端功能、数据库迁移、权限点、接口及测试用例</x:v>
      </x:c>
      <x:c r="V132" s="29" t="str">
        <x:v>主路径可运行；权限、状态、异常、版本和审计校验通过；构建无错误</x:v>
      </x:c>
      <x:c r="W132" s="31" t="str">
        <x:v>待执行</x:v>
      </x:c>
      <x:c r="X132" s="31" t="str">
        <x:v>待执行</x:v>
      </x:c>
      <x:c r="Y132" s="31" t="str">
        <x:v>待执行</x:v>
      </x:c>
      <x:c r="Z132" s="31" t="str">
        <x:v>待执行</x:v>
      </x:c>
      <x:c r="AA132" s="33"/>
      <x:c r="AB132" s="29" t="str"/>
    </x:row>
    <x:row r="133" ht="42" customHeight="1">
      <x:c r="A133" s="31" t="n">
        <x:v>128</x:v>
      </x:c>
      <x:c r="B133" s="31" t="str">
        <x:v>S6-013</x:v>
      </x:c>
      <x:c r="C133" s="31" t="str">
        <x:v>阶段6：绩效风险与优化</x:v>
      </x:c>
      <x:c r="D133" s="31" t="str">
        <x:v>V1.0基线</x:v>
      </x:c>
      <x:c r="E133" s="31" t="str">
        <x:v>端到端验收</x:v>
      </x:c>
      <x:c r="F133" s="31" t="str">
        <x:v>全链路</x:v>
      </x:c>
      <x:c r="G133" s="31" t="str">
        <x:v>八类端到端业务回归</x:v>
      </x:c>
      <x:c r="H133" s="31" t="str">
        <x:v>测试</x:v>
      </x:c>
      <x:c r="I133" s="29" t="str">
        <x:v>tests/e2e-full</x:v>
      </x:c>
      <x:c r="J133" s="29" t="str">
        <x:v>回归已有源、新供应商NPI、部分缺口、年度议价、紧急采购、质量异常、供应商冻结和对账差异。</x:v>
      </x:c>
      <x:c r="K133" s="29" t="str">
        <x:v>每条路径含标准、异常、权限、版本、审计和数据一致性证据。</x:v>
      </x:c>
      <x:c r="L133" s="29" t="str">
        <x:v>阶段1:阶段6功能完成</x:v>
      </x:c>
      <x:c r="M133" s="31" t="str">
        <x:v>P0</x:v>
      </x:c>
      <x:c r="N133" s="31" t="str">
        <x:v>XL</x:v>
      </x:c>
      <x:c r="O133" s="31" t="str">
        <x:v>Codex复核/用户验收</x:v>
      </x:c>
      <x:c r="P133" s="31" t="str">
        <x:v>I20</x:v>
      </x:c>
      <x:c r="Q133" s="31" t="str">
        <x:v>S6-C 发布验收</x:v>
      </x:c>
      <x:c r="R133" s="33"/>
      <x:c r="S133" s="33"/>
      <x:c r="T133" s="31" t="str">
        <x:v>未开始</x:v>
      </x:c>
      <x:c r="U133" s="29" t="str">
        <x:v>八类端到端业务回归测试脚本、缺陷清单与报告</x:v>
      </x:c>
      <x:c r="V133" s="29" t="str">
        <x:v>正向、负向、越权和异常场景通过；P0/P1缺陷关闭</x:v>
      </x:c>
      <x:c r="W133" s="31" t="str">
        <x:v>待执行</x:v>
      </x:c>
      <x:c r="X133" s="31" t="str">
        <x:v>待执行</x:v>
      </x:c>
      <x:c r="Y133" s="31" t="str">
        <x:v>待执行</x:v>
      </x:c>
      <x:c r="Z133" s="31" t="str">
        <x:v>不适用</x:v>
      </x:c>
      <x:c r="AA133" s="33"/>
      <x:c r="AB133" s="29" t="str"/>
    </x:row>
    <x:row r="134" ht="42" customHeight="1">
      <x:c r="A134" s="31" t="n">
        <x:v>129</x:v>
      </x:c>
      <x:c r="B134" s="31" t="str">
        <x:v>S6-014</x:v>
      </x:c>
      <x:c r="C134" s="31" t="str">
        <x:v>阶段6：绩效风险与优化</x:v>
      </x:c>
      <x:c r="D134" s="31" t="str">
        <x:v>V1.0基线</x:v>
      </x:c>
      <x:c r="E134" s="31" t="str">
        <x:v>非功能</x:v>
      </x:c>
      <x:c r="F134" s="31" t="str">
        <x:v>总体验收</x:v>
      </x:c>
      <x:c r="G134" s="31" t="str">
        <x:v>安全性能恢复与审计验收</x:v>
      </x:c>
      <x:c r="H134" s="31" t="str">
        <x:v>测试</x:v>
      </x:c>
      <x:c r="I134" s="29" t="str">
        <x:v>tests/nfr</x:v>
      </x:c>
      <x:c r="J134" s="29" t="str">
        <x:v>执行越权、供应商隔离、敏感字段、性能、批任务、备份恢复、监控和审计抽样。</x:v>
      </x:c>
      <x:c r="K134" s="29" t="str">
        <x:v>P0/P1安全缺陷关闭；关键性能达标；恢复演练成功。</x:v>
      </x:c>
      <x:c r="L134" s="29" t="str">
        <x:v>S6-013,S1-021</x:v>
      </x:c>
      <x:c r="M134" s="31" t="str">
        <x:v>P0</x:v>
      </x:c>
      <x:c r="N134" s="31" t="str">
        <x:v>XL</x:v>
      </x:c>
      <x:c r="O134" s="31" t="str">
        <x:v>Codex复核/运维</x:v>
      </x:c>
      <x:c r="P134" s="31" t="str">
        <x:v>I20</x:v>
      </x:c>
      <x:c r="Q134" s="31" t="str">
        <x:v>S6-C 发布验收</x:v>
      </x:c>
      <x:c r="R134" s="33"/>
      <x:c r="S134" s="33"/>
      <x:c r="T134" s="31" t="str">
        <x:v>未开始</x:v>
      </x:c>
      <x:c r="U134" s="29" t="str">
        <x:v>安全性能恢复与审计验收测试脚本、缺陷清单与报告</x:v>
      </x:c>
      <x:c r="V134" s="29" t="str">
        <x:v>正向、负向、越权和异常场景通过；P0/P1缺陷关闭</x:v>
      </x:c>
      <x:c r="W134" s="31" t="str">
        <x:v>待执行</x:v>
      </x:c>
      <x:c r="X134" s="31" t="str">
        <x:v>待执行</x:v>
      </x:c>
      <x:c r="Y134" s="31" t="str">
        <x:v>待执行</x:v>
      </x:c>
      <x:c r="Z134" s="31" t="str">
        <x:v>不适用</x:v>
      </x:c>
      <x:c r="AA134" s="33"/>
      <x:c r="AB134" s="29" t="str"/>
    </x:row>
    <x:row r="135" ht="42" customHeight="1">
      <x:c r="A135" s="31" t="n">
        <x:v>130</x:v>
      </x:c>
      <x:c r="B135" s="31" t="str">
        <x:v>S6-015</x:v>
      </x:c>
      <x:c r="C135" s="31" t="str">
        <x:v>阶段6：绩效风险与优化</x:v>
      </x:c>
      <x:c r="D135" s="31" t="str">
        <x:v>V1.0基线</x:v>
      </x:c>
      <x:c r="E135" s="31" t="str">
        <x:v>实施管理</x:v>
      </x:c>
      <x:c r="F135" s="31" t="str">
        <x:v>切换准备</x:v>
      </x:c>
      <x:c r="G135" s="31" t="str">
        <x:v>数据迁移切换培训与回退演练</x:v>
      </x:c>
      <x:c r="H135" s="31" t="str">
        <x:v>实施</x:v>
      </x:c>
      <x:c r="I135" s="29" t="str">
        <x:v>release/cutover</x:v>
      </x:c>
      <x:c r="J135" s="29" t="str">
        <x:v>完成主数据清洗、初始供应源、用户角色、配置、切换清单、培训和回退演练。</x:v>
      </x:c>
      <x:c r="K135" s="29" t="str">
        <x:v>只迁移有价值且可解释的数据；切换有停机/回退/责任人。</x:v>
      </x:c>
      <x:c r="L135" s="29" t="str">
        <x:v>S6-013,S6-014,D-010</x:v>
      </x:c>
      <x:c r="M135" s="31" t="str">
        <x:v>P0</x:v>
      </x:c>
      <x:c r="N135" s="31" t="str">
        <x:v>XL</x:v>
      </x:c>
      <x:c r="O135" s="31" t="str">
        <x:v>用户/运维/开发</x:v>
      </x:c>
      <x:c r="P135" s="31" t="str">
        <x:v>I20</x:v>
      </x:c>
      <x:c r="Q135" s="31" t="str">
        <x:v>S6-C 发布验收</x:v>
      </x:c>
      <x:c r="R135" s="33"/>
      <x:c r="S135" s="33"/>
      <x:c r="T135" s="31" t="str">
        <x:v>未开始</x:v>
      </x:c>
      <x:c r="U135" s="29" t="str">
        <x:v>数据迁移切换培训与回退演练实施包、记录与回退方案</x:v>
      </x:c>
      <x:c r="V135" s="29" t="str">
        <x:v>演练或执行成功；数据、服务、监控和回退均有证据</x:v>
      </x:c>
      <x:c r="W135" s="31" t="str">
        <x:v>待执行</x:v>
      </x:c>
      <x:c r="X135" s="31" t="str">
        <x:v>待执行</x:v>
      </x:c>
      <x:c r="Y135" s="31" t="str">
        <x:v>待执行</x:v>
      </x:c>
      <x:c r="Z135" s="31" t="str">
        <x:v>待执行</x:v>
      </x:c>
      <x:c r="AA135" s="33"/>
      <x:c r="AB135" s="29" t="str"/>
    </x:row>
    <x:row r="136" ht="42" customHeight="1">
      <x:c r="A136" s="31" t="n">
        <x:v>131</x:v>
      </x:c>
      <x:c r="B136" s="31" t="str">
        <x:v>S6-016</x:v>
      </x:c>
      <x:c r="C136" s="31" t="str">
        <x:v>阶段6：绩效风险与优化</x:v>
      </x:c>
      <x:c r="D136" s="31" t="str">
        <x:v>V1.0基线</x:v>
      </x:c>
      <x:c r="E136" s="31" t="str">
        <x:v>实施管理</x:v>
      </x:c>
      <x:c r="F136" s="31" t="str">
        <x:v>正式发布</x:v>
      </x:c>
      <x:c r="G136" s="31" t="str">
        <x:v>V1.0发布与稳定期</x:v>
      </x:c>
      <x:c r="H136" s="31" t="str">
        <x:v>实施</x:v>
      </x:c>
      <x:c r="I136" s="29" t="str">
        <x:v>release/v1</x:v>
      </x:c>
      <x:c r="J136" s="29" t="str">
        <x:v>执行生产发布、冒烟、业务验证、监控、问题分级和稳定期复盘。</x:v>
      </x:c>
      <x:c r="K136" s="29" t="str">
        <x:v>发布证据完整；核心业务可用；重大问题有回退或热修方案。</x:v>
      </x:c>
      <x:c r="L136" s="29" t="str">
        <x:v>S6-015</x:v>
      </x:c>
      <x:c r="M136" s="31" t="str">
        <x:v>P0</x:v>
      </x:c>
      <x:c r="N136" s="31" t="str">
        <x:v>L</x:v>
      </x:c>
      <x:c r="O136" s="31" t="str">
        <x:v>用户/运维/开发</x:v>
      </x:c>
      <x:c r="P136" s="31" t="str">
        <x:v>I20</x:v>
      </x:c>
      <x:c r="Q136" s="31" t="str">
        <x:v>S6-C 发布验收</x:v>
      </x:c>
      <x:c r="R136" s="33"/>
      <x:c r="S136" s="33"/>
      <x:c r="T136" s="31" t="str">
        <x:v>未开始</x:v>
      </x:c>
      <x:c r="U136" s="29" t="str">
        <x:v>V1.0发布与稳定期实施包、记录与回退方案</x:v>
      </x:c>
      <x:c r="V136" s="29" t="str">
        <x:v>演练或执行成功；数据、服务、监控和回退均有证据</x:v>
      </x:c>
      <x:c r="W136" s="31" t="str">
        <x:v>待执行</x:v>
      </x:c>
      <x:c r="X136" s="31" t="str">
        <x:v>待执行</x:v>
      </x:c>
      <x:c r="Y136" s="31" t="str">
        <x:v>待执行</x:v>
      </x:c>
      <x:c r="Z136" s="31" t="str">
        <x:v>待执行</x:v>
      </x:c>
      <x:c r="AA136" s="33"/>
      <x:c r="AB136" s="29" t="str"/>
    </x:row>
    <x:row r="137" ht="42" customHeight="1">
      <x:c r="A137" s="31" t="n">
        <x:v>132</x:v>
      </x:c>
      <x:c r="B137" s="31" t="str">
        <x:v>S7-001</x:v>
      </x:c>
      <x:c r="C137" s="31" t="str">
        <x:v>阶段7：高级制造协同</x:v>
      </x:c>
      <x:c r="D137" s="31" t="str">
        <x:v>高级储备（不计入V1.0上线）</x:v>
      </x:c>
      <x:c r="E137" s="31" t="str">
        <x:v>采购协同</x:v>
      </x:c>
      <x:c r="F137" s="31" t="str">
        <x:v>预测协同</x:v>
      </x:c>
      <x:c r="G137" s="31" t="str">
        <x:v>滚动预测与供应商承诺</x:v>
      </x:c>
      <x:c r="H137" s="31" t="str">
        <x:v>储备</x:v>
      </x:c>
      <x:c r="I137" s="29" t="str">
        <x:v>advanced/forecast</x:v>
      </x:c>
      <x:c r="J137" s="29" t="str">
        <x:v>共享滚动预测并收集供应商数量/产能承诺和偏差。</x:v>
      </x:c>
      <x:c r="K137" s="29" t="str">
        <x:v>预测不等于PO；版本、时间桶和承诺口径明确。</x:v>
      </x:c>
      <x:c r="L137" s="29" t="str">
        <x:v>V1.0稳定；真实预测数据</x:v>
      </x:c>
      <x:c r="M137" s="31" t="str">
        <x:v>P2</x:v>
      </x:c>
      <x:c r="N137" s="31" t="str">
        <x:v>XL</x:v>
      </x:c>
      <x:c r="O137" s="31" t="str">
        <x:v>按需立项</x:v>
      </x:c>
      <x:c r="P137" s="31" t="str">
        <x:v>I21+</x:v>
      </x:c>
      <x:c r="Q137" s="31" t="str">
        <x:v>S7-A 交付增强</x:v>
      </x:c>
      <x:c r="R137" s="33"/>
      <x:c r="S137" s="33"/>
      <x:c r="T137" s="31" t="str">
        <x:v>未开始</x:v>
      </x:c>
      <x:c r="U137" s="29" t="str">
        <x:v>滚动预测与供应商承诺专题方案与价值评估</x:v>
      </x:c>
      <x:c r="V137" s="29" t="str">
        <x:v>具备明确业务价值、数据前提和独立验收标准后再进入开发</x:v>
      </x:c>
      <x:c r="W137" s="31" t="str">
        <x:v>待执行</x:v>
      </x:c>
      <x:c r="X137" s="31" t="str">
        <x:v>待执行</x:v>
      </x:c>
      <x:c r="Y137" s="31" t="str">
        <x:v>待执行</x:v>
      </x:c>
      <x:c r="Z137" s="31" t="str">
        <x:v>待执行</x:v>
      </x:c>
      <x:c r="AA137" s="33"/>
      <x:c r="AB137" s="29" t="str"/>
    </x:row>
    <x:row r="138" ht="42" customHeight="1">
      <x:c r="A138" s="31" t="n">
        <x:v>133</x:v>
      </x:c>
      <x:c r="B138" s="31" t="str">
        <x:v>S7-002</x:v>
      </x:c>
      <x:c r="C138" s="31" t="str">
        <x:v>阶段7：高级制造协同</x:v>
      </x:c>
      <x:c r="D138" s="31" t="str">
        <x:v>高级储备（不计入V1.0上线）</x:v>
      </x:c>
      <x:c r="E138" s="31" t="str">
        <x:v>采购协同</x:v>
      </x:c>
      <x:c r="F138" s="31" t="str">
        <x:v>计划协议</x:v>
      </x:c>
      <x:c r="G138" s="31" t="str">
        <x:v>计划协议与交付计划释放</x:v>
      </x:c>
      <x:c r="H138" s="31" t="str">
        <x:v>储备</x:v>
      </x:c>
      <x:c r="I138" s="29" t="str">
        <x:v>advanced/scheduling</x:v>
      </x:c>
      <x:c r="J138" s="29" t="str">
        <x:v>支持框架/计划协议、计划行和滚动释放协同。</x:v>
      </x:c>
      <x:c r="K138" s="29" t="str">
        <x:v>与普通PO和预测状态分离；需ERP策略匹配。</x:v>
      </x:c>
      <x:c r="L138" s="29" t="str">
        <x:v>S7-001,D-001</x:v>
      </x:c>
      <x:c r="M138" s="31" t="str">
        <x:v>P2</x:v>
      </x:c>
      <x:c r="N138" s="31" t="str">
        <x:v>XL</x:v>
      </x:c>
      <x:c r="O138" s="31" t="str">
        <x:v>按需立项</x:v>
      </x:c>
      <x:c r="P138" s="31" t="str">
        <x:v>I21+</x:v>
      </x:c>
      <x:c r="Q138" s="31" t="str">
        <x:v>S7-A 交付增强</x:v>
      </x:c>
      <x:c r="R138" s="33"/>
      <x:c r="S138" s="33"/>
      <x:c r="T138" s="31" t="str">
        <x:v>未开始</x:v>
      </x:c>
      <x:c r="U138" s="29" t="str">
        <x:v>计划协议与交付计划释放专题方案与价值评估</x:v>
      </x:c>
      <x:c r="V138" s="29" t="str">
        <x:v>具备明确业务价值、数据前提和独立验收标准后再进入开发</x:v>
      </x:c>
      <x:c r="W138" s="31" t="str">
        <x:v>待执行</x:v>
      </x:c>
      <x:c r="X138" s="31" t="str">
        <x:v>待执行</x:v>
      </x:c>
      <x:c r="Y138" s="31" t="str">
        <x:v>待执行</x:v>
      </x:c>
      <x:c r="Z138" s="31" t="str">
        <x:v>待执行</x:v>
      </x:c>
      <x:c r="AA138" s="33"/>
      <x:c r="AB138" s="29" t="str"/>
    </x:row>
    <x:row r="139" ht="42" customHeight="1">
      <x:c r="A139" s="31" t="n">
        <x:v>134</x:v>
      </x:c>
      <x:c r="B139" s="31" t="str">
        <x:v>S7-003</x:v>
      </x:c>
      <x:c r="C139" s="31" t="str">
        <x:v>阶段7：高级制造协同</x:v>
      </x:c>
      <x:c r="D139" s="31" t="str">
        <x:v>高级储备（不计入V1.0上线）</x:v>
      </x:c>
      <x:c r="E139" s="31" t="str">
        <x:v>供应源管理</x:v>
      </x:c>
      <x:c r="F139" s="31" t="str">
        <x:v>产能协同</x:v>
      </x:c>
      <x:c r="G139" s="31" t="str">
        <x:v>供应商产能计划与瓶颈</x:v>
      </x:c>
      <x:c r="H139" s="31" t="str">
        <x:v>储备</x:v>
      </x:c>
      <x:c r="I139" s="29" t="str">
        <x:v>advanced/capacity</x:v>
      </x:c>
      <x:c r="J139" s="29" t="str">
        <x:v>按物料/产线/周期收集产能、负荷、扩产计划和瓶颈。</x:v>
      </x:c>
      <x:c r="K139" s="29" t="str">
        <x:v>产能数据需与需求时间桶、单位和站点一致。</x:v>
      </x:c>
      <x:c r="L139" s="29" t="str">
        <x:v>S7-001；稳定需求数据</x:v>
      </x:c>
      <x:c r="M139" s="31" t="str">
        <x:v>P2</x:v>
      </x:c>
      <x:c r="N139" s="31" t="str">
        <x:v>XL</x:v>
      </x:c>
      <x:c r="O139" s="31" t="str">
        <x:v>按需立项</x:v>
      </x:c>
      <x:c r="P139" s="31" t="str">
        <x:v>I21+</x:v>
      </x:c>
      <x:c r="Q139" s="31" t="str">
        <x:v>S7-A 交付增强</x:v>
      </x:c>
      <x:c r="R139" s="33"/>
      <x:c r="S139" s="33"/>
      <x:c r="T139" s="31" t="str">
        <x:v>未开始</x:v>
      </x:c>
      <x:c r="U139" s="29" t="str">
        <x:v>供应商产能计划与瓶颈专题方案与价值评估</x:v>
      </x:c>
      <x:c r="V139" s="29" t="str">
        <x:v>具备明确业务价值、数据前提和独立验收标准后再进入开发</x:v>
      </x:c>
      <x:c r="W139" s="31" t="str">
        <x:v>待执行</x:v>
      </x:c>
      <x:c r="X139" s="31" t="str">
        <x:v>待执行</x:v>
      </x:c>
      <x:c r="Y139" s="31" t="str">
        <x:v>待执行</x:v>
      </x:c>
      <x:c r="Z139" s="31" t="str">
        <x:v>待执行</x:v>
      </x:c>
      <x:c r="AA139" s="33"/>
      <x:c r="AB139" s="29" t="str"/>
    </x:row>
    <x:row r="140" ht="42" customHeight="1">
      <x:c r="A140" s="31" t="n">
        <x:v>135</x:v>
      </x:c>
      <x:c r="B140" s="31" t="str">
        <x:v>S7-004</x:v>
      </x:c>
      <x:c r="C140" s="31" t="str">
        <x:v>阶段7：高级制造协同</x:v>
      </x:c>
      <x:c r="D140" s="31" t="str">
        <x:v>高级储备（不计入V1.0上线）</x:v>
      </x:c>
      <x:c r="E140" s="31" t="str">
        <x:v>交付与收货协同</x:v>
      </x:c>
      <x:c r="F140" s="31" t="str">
        <x:v>库存协同</x:v>
      </x:c>
      <x:c r="G140" s="31" t="str">
        <x:v>VMI寄售与供应商库存</x:v>
      </x:c>
      <x:c r="H140" s="31" t="str">
        <x:v>储备</x:v>
      </x:c>
      <x:c r="I140" s="29" t="str">
        <x:v>advanced/vmi</x:v>
      </x:c>
      <x:c r="J140" s="29" t="str">
        <x:v>支持寄售库存、补货触发、所有权、消耗结算和盘点差异。</x:v>
      </x:c>
      <x:c r="K140" s="29" t="str">
        <x:v>库存/财务权属需ERP/WMS确认；不得在SRM重复记账。</x:v>
      </x:c>
      <x:c r="L140" s="29" t="str">
        <x:v>D-001,D-007；企业明确场景</x:v>
      </x:c>
      <x:c r="M140" s="31" t="str">
        <x:v>P2</x:v>
      </x:c>
      <x:c r="N140" s="31" t="str">
        <x:v>XL</x:v>
      </x:c>
      <x:c r="O140" s="31" t="str">
        <x:v>按需立项</x:v>
      </x:c>
      <x:c r="P140" s="31" t="str">
        <x:v>I21+</x:v>
      </x:c>
      <x:c r="Q140" s="31" t="str">
        <x:v>S7-A 交付增强</x:v>
      </x:c>
      <x:c r="R140" s="33"/>
      <x:c r="S140" s="33"/>
      <x:c r="T140" s="31" t="str">
        <x:v>未开始</x:v>
      </x:c>
      <x:c r="U140" s="29" t="str">
        <x:v>VMI寄售与供应商库存专题方案与价值评估</x:v>
      </x:c>
      <x:c r="V140" s="29" t="str">
        <x:v>具备明确业务价值、数据前提和独立验收标准后再进入开发</x:v>
      </x:c>
      <x:c r="W140" s="31" t="str">
        <x:v>待执行</x:v>
      </x:c>
      <x:c r="X140" s="31" t="str">
        <x:v>待执行</x:v>
      </x:c>
      <x:c r="Y140" s="31" t="str">
        <x:v>待执行</x:v>
      </x:c>
      <x:c r="Z140" s="31" t="str">
        <x:v>待执行</x:v>
      </x:c>
      <x:c r="AA140" s="33"/>
      <x:c r="AB140" s="29" t="str"/>
    </x:row>
    <x:row r="141" ht="42" customHeight="1">
      <x:c r="A141" s="31" t="n">
        <x:v>136</x:v>
      </x:c>
      <x:c r="B141" s="31" t="str">
        <x:v>S7-005</x:v>
      </x:c>
      <x:c r="C141" s="31" t="str">
        <x:v>阶段7：高级制造协同</x:v>
      </x:c>
      <x:c r="D141" s="31" t="str">
        <x:v>高级储备（不计入V1.0上线）</x:v>
      </x:c>
      <x:c r="E141" s="31" t="str">
        <x:v>供应商质量管理</x:v>
      </x:c>
      <x:c r="F141" s="31" t="str">
        <x:v>高级质量</x:v>
      </x:c>
      <x:c r="G141" s="31" t="str">
        <x:v>APQP PPAP FAI深化</x:v>
      </x:c>
      <x:c r="H141" s="31" t="str">
        <x:v>储备</x:v>
      </x:c>
      <x:c r="I141" s="29" t="str">
        <x:v>advanced/apqp</x:v>
      </x:c>
      <x:c r="J141" s="29" t="str">
        <x:v>按行业模板提供阶段门、交付物、PSW、偏差和量产认可。</x:v>
      </x:c>
      <x:c r="K141" s="29" t="str">
        <x:v>仅在行业深度确定且业务人员能维护模板时启用。</x:v>
      </x:c>
      <x:c r="L141" s="29" t="str">
        <x:v>D-002；V1.0资格质量稳定</x:v>
      </x:c>
      <x:c r="M141" s="31" t="str">
        <x:v>P2</x:v>
      </x:c>
      <x:c r="N141" s="31" t="str">
        <x:v>XL</x:v>
      </x:c>
      <x:c r="O141" s="31" t="str">
        <x:v>按需立项</x:v>
      </x:c>
      <x:c r="P141" s="31" t="str">
        <x:v>I21+</x:v>
      </x:c>
      <x:c r="Q141" s="31" t="str">
        <x:v>S7-B 质量寻源</x:v>
      </x:c>
      <x:c r="R141" s="33"/>
      <x:c r="S141" s="33"/>
      <x:c r="T141" s="31" t="str">
        <x:v>未开始</x:v>
      </x:c>
      <x:c r="U141" s="29" t="str">
        <x:v>APQP PPAP FAI深化专题方案与价值评估</x:v>
      </x:c>
      <x:c r="V141" s="29" t="str">
        <x:v>具备明确业务价值、数据前提和独立验收标准后再进入开发</x:v>
      </x:c>
      <x:c r="W141" s="31" t="str">
        <x:v>待执行</x:v>
      </x:c>
      <x:c r="X141" s="31" t="str">
        <x:v>待执行</x:v>
      </x:c>
      <x:c r="Y141" s="31" t="str">
        <x:v>待执行</x:v>
      </x:c>
      <x:c r="Z141" s="31" t="str">
        <x:v>待执行</x:v>
      </x:c>
      <x:c r="AA141" s="33"/>
      <x:c r="AB141" s="29" t="str"/>
    </x:row>
    <x:row r="142" ht="42" customHeight="1">
      <x:c r="A142" s="31" t="n">
        <x:v>137</x:v>
      </x:c>
      <x:c r="B142" s="31" t="str">
        <x:v>S7-006</x:v>
      </x:c>
      <x:c r="C142" s="31" t="str">
        <x:v>阶段7：高级制造协同</x:v>
      </x:c>
      <x:c r="D142" s="31" t="str">
        <x:v>高级储备（不计入V1.0上线）</x:v>
      </x:c>
      <x:c r="E142" s="31" t="str">
        <x:v>战略寻源</x:v>
      </x:c>
      <x:c r="F142" s="31" t="str">
        <x:v>电子竞价</x:v>
      </x:c>
      <x:c r="G142" s="31" t="str">
        <x:v>在线竞价与动态报价</x:v>
      </x:c>
      <x:c r="H142" s="31" t="str">
        <x:v>储备</x:v>
      </x:c>
      <x:c r="I142" s="29" t="str">
        <x:v>advanced/auction</x:v>
      </x:c>
      <x:c r="J142" s="29" t="str">
        <x:v>支持正/反向竞价、延时规则、最小步长、排名和审计。</x:v>
      </x:c>
      <x:c r="K142" s="29" t="str">
        <x:v>竞价规则发布后冻结；公平性、保密和异常中止受控。</x:v>
      </x:c>
      <x:c r="L142" s="29" t="str">
        <x:v>V1.0 RFQ稳定；明确竞价政策</x:v>
      </x:c>
      <x:c r="M142" s="31" t="str">
        <x:v>P2</x:v>
      </x:c>
      <x:c r="N142" s="31" t="str">
        <x:v>XL</x:v>
      </x:c>
      <x:c r="O142" s="31" t="str">
        <x:v>按需立项</x:v>
      </x:c>
      <x:c r="P142" s="31" t="str">
        <x:v>I21+</x:v>
      </x:c>
      <x:c r="Q142" s="31" t="str">
        <x:v>S7-B 质量寻源</x:v>
      </x:c>
      <x:c r="R142" s="33"/>
      <x:c r="S142" s="33"/>
      <x:c r="T142" s="31" t="str">
        <x:v>未开始</x:v>
      </x:c>
      <x:c r="U142" s="29" t="str">
        <x:v>在线竞价与动态报价专题方案与价值评估</x:v>
      </x:c>
      <x:c r="V142" s="29" t="str">
        <x:v>具备明确业务价值、数据前提和独立验收标准后再进入开发</x:v>
      </x:c>
      <x:c r="W142" s="31" t="str">
        <x:v>待执行</x:v>
      </x:c>
      <x:c r="X142" s="31" t="str">
        <x:v>待执行</x:v>
      </x:c>
      <x:c r="Y142" s="31" t="str">
        <x:v>待执行</x:v>
      </x:c>
      <x:c r="Z142" s="31" t="str">
        <x:v>待执行</x:v>
      </x:c>
      <x:c r="AA142" s="33"/>
      <x:c r="AB142" s="29" t="str"/>
    </x:row>
    <x:row r="143" ht="42" customHeight="1">
      <x:c r="A143" s="31" t="n">
        <x:v>138</x:v>
      </x:c>
      <x:c r="B143" s="31" t="str">
        <x:v>S7-007</x:v>
      </x:c>
      <x:c r="C143" s="31" t="str">
        <x:v>阶段7：高级制造协同</x:v>
      </x:c>
      <x:c r="D143" s="31" t="str">
        <x:v>高级储备（不计入V1.0上线）</x:v>
      </x:c>
      <x:c r="E143" s="31" t="str">
        <x:v>合同与价格管理</x:v>
      </x:c>
      <x:c r="F143" s="31" t="str">
        <x:v>成本管理</x:v>
      </x:c>
      <x:c r="G143" s="31" t="str">
        <x:v>成本拆解与目标成本</x:v>
      </x:c>
      <x:c r="H143" s="31" t="str">
        <x:v>储备</x:v>
      </x:c>
      <x:c r="I143" s="29" t="str">
        <x:v>advanced/cost</x:v>
      </x:c>
      <x:c r="J143" s="29" t="str">
        <x:v>采集成本构成、原料联动、应该成本和降本机会。</x:v>
      </x:c>
      <x:c r="K143" s="29" t="str">
        <x:v>敏感成本字段级隔离；供应商间绝不互见。</x:v>
      </x:c>
      <x:c r="L143" s="29" t="str">
        <x:v>真实成本模型与数据治理</x:v>
      </x:c>
      <x:c r="M143" s="31" t="str">
        <x:v>P2</x:v>
      </x:c>
      <x:c r="N143" s="31" t="str">
        <x:v>XL</x:v>
      </x:c>
      <x:c r="O143" s="31" t="str">
        <x:v>按需立项</x:v>
      </x:c>
      <x:c r="P143" s="31" t="str">
        <x:v>I21+</x:v>
      </x:c>
      <x:c r="Q143" s="31" t="str">
        <x:v>S7-C 合同智能</x:v>
      </x:c>
      <x:c r="R143" s="33"/>
      <x:c r="S143" s="33"/>
      <x:c r="T143" s="31" t="str">
        <x:v>未开始</x:v>
      </x:c>
      <x:c r="U143" s="29" t="str">
        <x:v>成本拆解与目标成本专题方案与价值评估</x:v>
      </x:c>
      <x:c r="V143" s="29" t="str">
        <x:v>具备明确业务价值、数据前提和独立验收标准后再进入开发</x:v>
      </x:c>
      <x:c r="W143" s="31" t="str">
        <x:v>待执行</x:v>
      </x:c>
      <x:c r="X143" s="31" t="str">
        <x:v>待执行</x:v>
      </x:c>
      <x:c r="Y143" s="31" t="str">
        <x:v>待执行</x:v>
      </x:c>
      <x:c r="Z143" s="31" t="str">
        <x:v>待执行</x:v>
      </x:c>
      <x:c r="AA143" s="33"/>
      <x:c r="AB143" s="29" t="str"/>
    </x:row>
    <x:row r="144" ht="42" customHeight="1">
      <x:c r="A144" s="31" t="n">
        <x:v>139</x:v>
      </x:c>
      <x:c r="B144" s="31" t="str">
        <x:v>S7-008</x:v>
      </x:c>
      <x:c r="C144" s="31" t="str">
        <x:v>阶段7：高级制造协同</x:v>
      </x:c>
      <x:c r="D144" s="31" t="str">
        <x:v>高级储备（不计入V1.0上线）</x:v>
      </x:c>
      <x:c r="E144" s="31" t="str">
        <x:v>合同与价格管理</x:v>
      </x:c>
      <x:c r="F144" s="31" t="str">
        <x:v>电子签署</x:v>
      </x:c>
      <x:c r="G144" s="31" t="str">
        <x:v>电子签平台集成</x:v>
      </x:c>
      <x:c r="H144" s="31" t="str">
        <x:v>储备</x:v>
      </x:c>
      <x:c r="I144" s="29" t="str">
        <x:v>advanced/esign</x:v>
      </x:c>
      <x:c r="J144" s="29" t="str">
        <x:v>发起签署、签署人认证、状态、证书、签章文件归档和验真。</x:v>
      </x:c>
      <x:c r="K144" s="29" t="str">
        <x:v>使用合规外部平台；签署证据不可篡改。</x:v>
      </x:c>
      <x:c r="L144" s="29" t="str">
        <x:v>D-008；合同域稳定</x:v>
      </x:c>
      <x:c r="M144" s="31" t="str">
        <x:v>P2</x:v>
      </x:c>
      <x:c r="N144" s="31" t="str">
        <x:v>L</x:v>
      </x:c>
      <x:c r="O144" s="31" t="str">
        <x:v>按需立项</x:v>
      </x:c>
      <x:c r="P144" s="31" t="str">
        <x:v>I21+</x:v>
      </x:c>
      <x:c r="Q144" s="31" t="str">
        <x:v>S7-C 合同智能</x:v>
      </x:c>
      <x:c r="R144" s="33"/>
      <x:c r="S144" s="33"/>
      <x:c r="T144" s="31" t="str">
        <x:v>未开始</x:v>
      </x:c>
      <x:c r="U144" s="29" t="str">
        <x:v>电子签平台集成专题方案与价值评估</x:v>
      </x:c>
      <x:c r="V144" s="29" t="str">
        <x:v>具备明确业务价值、数据前提和独立验收标准后再进入开发</x:v>
      </x:c>
      <x:c r="W144" s="31" t="str">
        <x:v>待执行</x:v>
      </x:c>
      <x:c r="X144" s="31" t="str">
        <x:v>待执行</x:v>
      </x:c>
      <x:c r="Y144" s="31" t="str">
        <x:v>待执行</x:v>
      </x:c>
      <x:c r="Z144" s="31" t="str">
        <x:v>待执行</x:v>
      </x:c>
      <x:c r="AA144" s="33"/>
      <x:c r="AB144" s="29" t="str"/>
    </x:row>
    <x:row r="145" ht="42" customHeight="1">
      <x:c r="A145" s="31" t="n">
        <x:v>140</x:v>
      </x:c>
      <x:c r="B145" s="31" t="str">
        <x:v>S7-009</x:v>
      </x:c>
      <x:c r="C145" s="31" t="str">
        <x:v>阶段7：高级制造协同</x:v>
      </x:c>
      <x:c r="D145" s="31" t="str">
        <x:v>高级储备（不计入V1.0上线）</x:v>
      </x:c>
      <x:c r="E145" s="31" t="str">
        <x:v>绩效与风险管理</x:v>
      </x:c>
      <x:c r="F145" s="31" t="str">
        <x:v>智能分析</x:v>
      </x:c>
      <x:c r="G145" s="31" t="str">
        <x:v>AI风险预测与业务助手</x:v>
      </x:c>
      <x:c r="H145" s="31" t="str">
        <x:v>储备</x:v>
      </x:c>
      <x:c r="I145" s="29" t="str">
        <x:v>advanced/ai</x:v>
      </x:c>
      <x:c r="J145" s="29" t="str">
        <x:v>对交付、质量、风险和任务提供预测、摘要、建议和自然语言检索。</x:v>
      </x:c>
      <x:c r="K145" s="29" t="str">
        <x:v>AI输出可解释、有权限过滤、不可自动绕过审批或业务关口。</x:v>
      </x:c>
      <x:c r="L145" s="29" t="str">
        <x:v>V1.0高质量事实数据</x:v>
      </x:c>
      <x:c r="M145" s="31" t="str">
        <x:v>P2</x:v>
      </x:c>
      <x:c r="N145" s="31" t="str">
        <x:v>XL</x:v>
      </x:c>
      <x:c r="O145" s="31" t="str">
        <x:v>按需立项</x:v>
      </x:c>
      <x:c r="P145" s="31" t="str">
        <x:v>I21+</x:v>
      </x:c>
      <x:c r="Q145" s="31" t="str">
        <x:v>S7-C 合同智能</x:v>
      </x:c>
      <x:c r="R145" s="33"/>
      <x:c r="S145" s="33"/>
      <x:c r="T145" s="31" t="str">
        <x:v>未开始</x:v>
      </x:c>
      <x:c r="U145" s="29" t="str">
        <x:v>AI风险预测与业务助手专题方案与价值评估</x:v>
      </x:c>
      <x:c r="V145" s="29" t="str">
        <x:v>具备明确业务价值、数据前提和独立验收标准后再进入开发</x:v>
      </x:c>
      <x:c r="W145" s="31" t="str">
        <x:v>待执行</x:v>
      </x:c>
      <x:c r="X145" s="31" t="str">
        <x:v>待执行</x:v>
      </x:c>
      <x:c r="Y145" s="31" t="str">
        <x:v>待执行</x:v>
      </x:c>
      <x:c r="Z145" s="31" t="str">
        <x:v>待执行</x:v>
      </x:c>
      <x:c r="AA145" s="33"/>
      <x:c r="AB145" s="29" t="str"/>
    </x:row>
    <x:row r="146" ht="42" customHeight="1">
      <x:c r="A146" s="31" t="n">
        <x:v>141</x:v>
      </x:c>
      <x:c r="B146" s="31" t="str">
        <x:v>S7-010</x:v>
      </x:c>
      <x:c r="C146" s="31" t="str">
        <x:v>阶段7：高级制造协同</x:v>
      </x:c>
      <x:c r="D146" s="31" t="str">
        <x:v>高级储备（不计入V1.0上线）</x:v>
      </x:c>
      <x:c r="E146" s="31" t="str">
        <x:v>绩效与风险管理</x:v>
      </x:c>
      <x:c r="F146" s="31" t="str">
        <x:v>可持续发展</x:v>
      </x:c>
      <x:c r="G146" s="31" t="str">
        <x:v>ESG与供应链尽责管理</x:v>
      </x:c>
      <x:c r="H146" s="31" t="str">
        <x:v>储备</x:v>
      </x:c>
      <x:c r="I146" s="29" t="str">
        <x:v>advanced/esg</x:v>
      </x:c>
      <x:c r="J146" s="29" t="str">
        <x:v>管理ESG问卷、碳数据、劳工/合规风险、整改和披露证据。</x:v>
      </x:c>
      <x:c r="K146" s="29" t="str">
        <x:v>指标口径和证据来源明确；敏感披露受控。</x:v>
      </x:c>
      <x:c r="L146" s="29" t="str">
        <x:v>企业ESG政策与法规要求</x:v>
      </x:c>
      <x:c r="M146" s="31" t="str">
        <x:v>P2</x:v>
      </x:c>
      <x:c r="N146" s="31" t="str">
        <x:v>XL</x:v>
      </x:c>
      <x:c r="O146" s="31" t="str">
        <x:v>按需立项</x:v>
      </x:c>
      <x:c r="P146" s="31" t="str">
        <x:v>I21+</x:v>
      </x:c>
      <x:c r="Q146" s="31" t="str">
        <x:v>S7-D 可持续</x:v>
      </x:c>
      <x:c r="R146" s="33"/>
      <x:c r="S146" s="33"/>
      <x:c r="T146" s="31" t="str">
        <x:v>未开始</x:v>
      </x:c>
      <x:c r="U146" s="29" t="str">
        <x:v>ESG与供应链尽责管理专题方案与价值评估</x:v>
      </x:c>
      <x:c r="V146" s="29" t="str">
        <x:v>具备明确业务价值、数据前提和独立验收标准后再进入开发</x:v>
      </x:c>
      <x:c r="W146" s="31" t="str">
        <x:v>待执行</x:v>
      </x:c>
      <x:c r="X146" s="31" t="str">
        <x:v>待执行</x:v>
      </x:c>
      <x:c r="Y146" s="31" t="str">
        <x:v>待执行</x:v>
      </x:c>
      <x:c r="Z146" s="31" t="str">
        <x:v>待执行</x:v>
      </x:c>
      <x:c r="AA146" s="33"/>
      <x:c r="AB146" s="29" t="str"/>
    </x:row>
  </x:sheetData>
  <x:mergeCells>
    <x:mergeCell ref="A1:AB1"/>
    <x:mergeCell ref="A2:AB2"/>
  </x:mergeCells>
  <x:conditionalFormatting sqref="M6:M14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T6:T146">
    <x:cfRule type="containsText" dxfId="3" priority="4" operator="containsText" text="已完成"/>
    <x:cfRule type="containsText" dxfId="4" priority="5" operator="containsText" text="进行中"/>
    <x:cfRule type="containsText" dxfId="5" priority="6" operator="containsText" text="待复核"/>
    <x:cfRule type="containsText" dxfId="6" priority="7" operator="containsText" text="待验收"/>
    <x:cfRule type="containsText" dxfId="7" priority="8" operator="containsText" text="已阻塞"/>
  </x:conditionalFormatting>
  <x:conditionalFormatting sqref="D6:D146">
    <x:cfRule type="containsText" dxfId="8" priority="9" operator="containsText" text="高级储备"/>
  </x:conditionalFormatting>
  <x:conditionalFormatting sqref="W6:W146">
    <x:cfRule type="containsText" dxfId="9" priority="10" operator="containsText" text="通过"/>
    <x:cfRule type="containsText" dxfId="10" priority="11" operator="containsText" text="不通过"/>
  </x:conditionalFormatting>
  <x:conditionalFormatting sqref="X6:X146">
    <x:cfRule type="containsText" dxfId="11" priority="12" operator="containsText" text="通过"/>
    <x:cfRule type="containsText" dxfId="12" priority="13" operator="containsText" text="不通过"/>
  </x:conditionalFormatting>
  <x:conditionalFormatting sqref="Y6:Y146">
    <x:cfRule type="containsText" dxfId="13" priority="14" operator="containsText" text="通过"/>
    <x:cfRule type="containsText" dxfId="14" priority="15" operator="containsText" text="不通过"/>
  </x:conditionalFormatting>
  <x:conditionalFormatting sqref="Z6:Z146">
    <x:cfRule type="containsText" dxfId="15" priority="16" operator="containsText" text="通过"/>
    <x:cfRule type="containsText" dxfId="16" priority="17" operator="containsText" text="不通过"/>
  </x:conditionalFormatting>
  <x:dataValidations count="7">
    <x:dataValidation type="list" sqref="M6:M146">
      <x:formula1>"P0,P1,P2"</x:formula1>
    </x:dataValidation>
    <x:dataValidation type="list" sqref="N6:N146">
      <x:formula1>"S,M,L,XL"</x:formula1>
    </x:dataValidation>
    <x:dataValidation type="list" sqref="T6:T146">
      <x:formula1>"未开始,进行中,待复核,待验收,已完成,已阻塞,已取消"</x:formula1>
    </x:dataValidation>
    <x:dataValidation type="list" sqref="W6:W146">
      <x:formula1>"待执行,通过,不通过,不适用"</x:formula1>
    </x:dataValidation>
    <x:dataValidation type="list" sqref="X6:X146">
      <x:formula1>"待执行,通过,不通过,不适用"</x:formula1>
    </x:dataValidation>
    <x:dataValidation type="list" sqref="Y6:Y146">
      <x:formula1>"待执行,通过,不通过,不适用"</x:formula1>
    </x:dataValidation>
    <x:dataValidation type="list" sqref="Z6:Z146">
      <x:formula1>"待执行,通过,不通过,不适用"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baaeff9b848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14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9" hidden="0" customWidth="1"/>
    <x:col min="10" max="10" width="17" hidden="0" customWidth="1"/>
    <x:col min="11" max="11" width="42" hidden="0" customWidth="1"/>
    <x:col min="12" max="12" width="32" hidden="0" customWidth="1"/>
  </x:cols>
  <x:sheetData>
    <x:row r="1">
      <x:c r="A1" s="4" t="str">
        <x:v>12个一级业务域与实施阶段映射</x:v>
      </x:c>
      <x:c r="B1" s="4" t="str">
        <x:v>12个一级业务域与实施阶段映射</x:v>
      </x:c>
      <x:c r="C1" s="4" t="str">
        <x:v>12个一级业务域与实施阶段映射</x:v>
      </x:c>
      <x:c r="D1" s="4" t="str">
        <x:v>12个一级业务域与实施阶段映射</x:v>
      </x:c>
      <x:c r="E1" s="4" t="str">
        <x:v>12个一级业务域与实施阶段映射</x:v>
      </x:c>
      <x:c r="F1" s="4" t="str">
        <x:v>12个一级业务域与实施阶段映射</x:v>
      </x:c>
      <x:c r="G1" s="4" t="str">
        <x:v>12个一级业务域与实施阶段映射</x:v>
      </x:c>
      <x:c r="H1" s="4" t="str">
        <x:v>12个一级业务域与实施阶段映射</x:v>
      </x:c>
      <x:c r="I1" s="4" t="str">
        <x:v>12个一级业务域与实施阶段映射</x:v>
      </x:c>
      <x:c r="J1" s="4" t="str">
        <x:v>12个一级业务域与实施阶段映射</x:v>
      </x:c>
      <x:c r="K1" s="4" t="str">
        <x:v>12个一级业务域与实施阶段映射</x:v>
      </x:c>
      <x:c r="L1" s="4" t="str">
        <x:v>12个一级业务域与实施阶段映射</x:v>
      </x:c>
    </x:row>
    <x:row r="2">
      <x:c r="A2" s="8" t="str">
        <x:v>“主建”表示该阶段形成核心业务能力；“增强/联动”表示在既有能力上补充闭环。</x:v>
      </x:c>
      <x:c r="B2" s="8" t="str">
        <x:v>“主建”表示该阶段形成核心业务能力；“增强/联动”表示在既有能力上补充闭环。</x:v>
      </x:c>
      <x:c r="C2" s="8" t="str">
        <x:v>“主建”表示该阶段形成核心业务能力；“增强/联动”表示在既有能力上补充闭环。</x:v>
      </x:c>
      <x:c r="D2" s="8" t="str">
        <x:v>“主建”表示该阶段形成核心业务能力；“增强/联动”表示在既有能力上补充闭环。</x:v>
      </x:c>
      <x:c r="E2" s="8" t="str">
        <x:v>“主建”表示该阶段形成核心业务能力；“增强/联动”表示在既有能力上补充闭环。</x:v>
      </x:c>
      <x:c r="F2" s="8" t="str">
        <x:v>“主建”表示该阶段形成核心业务能力；“增强/联动”表示在既有能力上补充闭环。</x:v>
      </x:c>
      <x:c r="G2" s="8" t="str">
        <x:v>“主建”表示该阶段形成核心业务能力；“增强/联动”表示在既有能力上补充闭环。</x:v>
      </x:c>
      <x:c r="H2" s="8" t="str">
        <x:v>“主建”表示该阶段形成核心业务能力；“增强/联动”表示在既有能力上补充闭环。</x:v>
      </x:c>
      <x:c r="I2" s="8" t="str">
        <x:v>“主建”表示该阶段形成核心业务能力；“增强/联动”表示在既有能力上补充闭环。</x:v>
      </x:c>
      <x:c r="J2" s="8" t="str">
        <x:v>“主建”表示该阶段形成核心业务能力；“增强/联动”表示在既有能力上补充闭环。</x:v>
      </x:c>
      <x:c r="K2" s="8" t="str">
        <x:v>“主建”表示该阶段形成核心业务能力；“增强/联动”表示在既有能力上补充闭环。</x:v>
      </x:c>
      <x:c r="L2" s="8" t="str">
        <x:v>“主建”表示该阶段形成核心业务能力；“增强/联动”表示在既有能力上补充闭环。</x:v>
      </x:c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</x:row>
    <x:row r="4">
      <x:c r="A4" s="22" t="str">
        <x:v>编号</x:v>
      </x:c>
      <x:c r="B4" s="22" t="str">
        <x:v>一级业务域</x:v>
      </x:c>
      <x:c r="C4" s="22" t="str">
        <x:v>阶段0</x:v>
      </x:c>
      <x:c r="D4" s="22" t="str">
        <x:v>阶段1</x:v>
      </x:c>
      <x:c r="E4" s="22" t="str">
        <x:v>阶段2</x:v>
      </x:c>
      <x:c r="F4" s="22" t="str">
        <x:v>阶段3</x:v>
      </x:c>
      <x:c r="G4" s="22" t="str">
        <x:v>阶段4</x:v>
      </x:c>
      <x:c r="H4" s="22" t="str">
        <x:v>阶段5</x:v>
      </x:c>
      <x:c r="I4" s="22" t="str">
        <x:v>阶段6</x:v>
      </x:c>
      <x:c r="J4" s="22" t="str">
        <x:v>阶段7</x:v>
      </x:c>
      <x:c r="K4" s="22" t="str">
        <x:v>V1.0主要交付</x:v>
      </x:c>
      <x:c r="L4" s="22" t="str">
        <x:v>高级储备/说明</x:v>
      </x:c>
    </x:row>
    <x:row r="5" ht="58" customHeight="1">
      <x:c r="A5" s="30" t="str">
        <x:v>01</x:v>
      </x:c>
      <x:c r="B5" s="30" t="str">
        <x:v>工作台</x:v>
      </x:c>
      <x:c r="C5" s="30" t="str">
        <x:v>设计</x:v>
      </x:c>
      <x:c r="D5" s="30" t="str">
        <x:v>主建：骨架/待办</x:v>
      </x:c>
      <x:c r="E5" s="30" t="str">
        <x:v>增强：供应商任务</x:v>
      </x:c>
      <x:c r="F5" s="30" t="str">
        <x:v>增强：寻源转化</x:v>
      </x:c>
      <x:c r="G5" s="30" t="str">
        <x:v>增强：订单交付</x:v>
      </x:c>
      <x:c r="H5" s="30" t="str">
        <x:v>增强：质量结算</x:v>
      </x:c>
      <x:c r="I5" s="30" t="str">
        <x:v>主建：管理驾驶舱</x:v>
      </x:c>
      <x:c r="J5" s="30" t="str">
        <x:v>AI增强</x:v>
      </x:c>
      <x:c r="K5" s="28" t="str">
        <x:v>统一首页、任务、审批、预警、进度和角色指标</x:v>
      </x:c>
      <x:c r="L5" s="28" t="str">
        <x:v>智能摘要与预测</x:v>
      </x:c>
    </x:row>
    <x:row r="6" ht="58" customHeight="1">
      <x:c r="A6" s="31" t="str">
        <x:v>02</x:v>
      </x:c>
      <x:c r="B6" s="31" t="str">
        <x:v>供应商管理</x:v>
      </x:c>
      <x:c r="C6" s="31" t="str">
        <x:v>设计</x:v>
      </x:c>
      <x:c r="D6" s="31" t="str">
        <x:v>权限/附件支撑</x:v>
      </x:c>
      <x:c r="E6" s="31" t="str">
        <x:v>主建</x:v>
      </x:c>
      <x:c r="F6" s="31" t="str">
        <x:v>联动：中选转化</x:v>
      </x:c>
      <x:c r="G6" s="31" t="str">
        <x:v>联动：订单主体</x:v>
      </x:c>
      <x:c r="H6" s="31" t="str">
        <x:v>增强：资质/质量</x:v>
      </x:c>
      <x:c r="I6" s="31" t="str">
        <x:v>增强：绩效决策</x:v>
      </x:c>
      <x:c r="J6" s="31" t="str">
        <x:v>ESG增强</x:v>
      </x:c>
      <x:c r="K6" s="29" t="str">
        <x:v>资源池、注册、准入、站点、用户、资质、冻结退出</x:v>
      </x:c>
      <x:c r="L6" s="29" t="str">
        <x:v>ESG尽责管理</x:v>
      </x:c>
    </x:row>
    <x:row r="7" ht="58" customHeight="1">
      <x:c r="A7" s="31" t="str">
        <x:v>03</x:v>
      </x:c>
      <x:c r="B7" s="31" t="str">
        <x:v>战略寻源</x:v>
      </x:c>
      <x:c r="C7" s="31" t="str">
        <x:v>设计</x:v>
      </x:c>
      <x:c r="D7" s="31" t="str">
        <x:v>流程/权限支撑</x:v>
      </x:c>
      <x:c r="E7" s="31" t="str">
        <x:v>资格支撑</x:v>
      </x:c>
      <x:c r="F7" s="31" t="str">
        <x:v>主建</x:v>
      </x:c>
      <x:c r="G7" s="31" t="str">
        <x:v>联动：缺口寻源</x:v>
      </x:c>
      <x:c r="H7" s="31" t="str">
        <x:v>联动：质量评审</x:v>
      </x:c>
      <x:c r="I7" s="31" t="str">
        <x:v>增强：第二供应源</x:v>
      </x:c>
      <x:c r="J7" s="31" t="str">
        <x:v>竞价增强</x:v>
      </x:c>
      <x:c r="K7" s="29" t="str">
        <x:v>多入口寻源、RFQ、报价、评审、定标、转化</x:v>
      </x:c>
      <x:c r="L7" s="29" t="str">
        <x:v>电子竞价与高级策略</x:v>
      </x:c>
    </x:row>
    <x:row r="8" ht="58" customHeight="1">
      <x:c r="A8" s="31" t="str">
        <x:v>04</x:v>
      </x:c>
      <x:c r="B8" s="31" t="str">
        <x:v>合同与价格管理</x:v>
      </x:c>
      <x:c r="C8" s="31" t="str">
        <x:v>设计</x:v>
      </x:c>
      <x:c r="D8" s="31" t="str">
        <x:v>附件/流程支撑</x:v>
      </x:c>
      <x:c r="E8" s="31" t="str">
        <x:v>供应商支撑</x:v>
      </x:c>
      <x:c r="F8" s="31" t="str">
        <x:v>主建</x:v>
      </x:c>
      <x:c r="G8" s="31" t="str">
        <x:v>联动：PO价格</x:v>
      </x:c>
      <x:c r="H8" s="31" t="str">
        <x:v>联动：结算价格</x:v>
      </x:c>
      <x:c r="I8" s="31" t="str">
        <x:v>增强：临期风险</x:v>
      </x:c>
      <x:c r="J8" s="31" t="str">
        <x:v>电子签/成本</x:v>
      </x:c>
      <x:c r="K8" s="29" t="str">
        <x:v>合同/采购依据、价格版本、覆盖校验和临期</x:v>
      </x:c>
      <x:c r="L8" s="29" t="str">
        <x:v>电子签、成本拆解</x:v>
      </x:c>
    </x:row>
    <x:row r="9" ht="58" customHeight="1">
      <x:c r="A9" s="31" t="str">
        <x:v>05</x:v>
      </x:c>
      <x:c r="B9" s="31" t="str">
        <x:v>供应源管理</x:v>
      </x:c>
      <x:c r="C9" s="31" t="str">
        <x:v>设计</x:v>
      </x:c>
      <x:c r="D9" s="31" t="str">
        <x:v>主数据/权限支撑</x:v>
      </x:c>
      <x:c r="E9" s="31" t="str">
        <x:v>主建：核心模型</x:v>
      </x:c>
      <x:c r="F9" s="31" t="str">
        <x:v>主建：激活规则</x:v>
      </x:c>
      <x:c r="G9" s="31" t="str">
        <x:v>联动：匹配分配</x:v>
      </x:c>
      <x:c r="H9" s="31" t="str">
        <x:v>增强：质量限制</x:v>
      </x:c>
      <x:c r="I9" s="31" t="str">
        <x:v>增强：配额治理</x:v>
      </x:c>
      <x:c r="J9" s="31" t="str">
        <x:v>产能增强</x:v>
      </x:c>
      <x:c r="K9" s="29" t="str">
        <x:v>候选/试制/条件/正式源、能力、版本、激活与配额</x:v>
      </x:c>
      <x:c r="L9" s="29" t="str">
        <x:v>产能协同</x:v>
      </x:c>
    </x:row>
    <x:row r="10" ht="58" customHeight="1">
      <x:c r="A10" s="31" t="str">
        <x:v>06</x:v>
      </x:c>
      <x:c r="B10" s="31" t="str">
        <x:v>采购协同</x:v>
      </x:c>
      <x:c r="C10" s="31" t="str">
        <x:v>设计</x:v>
      </x:c>
      <x:c r="D10" s="31" t="str">
        <x:v>集成底座</x:v>
      </x:c>
      <x:c r="E10" s="31" t="str">
        <x:v>供应源支撑</x:v>
      </x:c>
      <x:c r="F10" s="31" t="str">
        <x:v>价格/依据支撑</x:v>
      </x:c>
      <x:c r="G10" s="31" t="str">
        <x:v>主建</x:v>
      </x:c>
      <x:c r="H10" s="31" t="str">
        <x:v>联动：可结算</x:v>
      </x:c>
      <x:c r="I10" s="31" t="str">
        <x:v>增强：份额反馈</x:v>
      </x:c>
      <x:c r="J10" s="31" t="str">
        <x:v>预测/协议</x:v>
      </x:c>
      <x:c r="K10" s="29" t="str">
        <x:v>需求、匹配、缺口、分配、PO、承诺、变更取消</x:v>
      </x:c>
      <x:c r="L10" s="29" t="str">
        <x:v>预测承诺、计划协议</x:v>
      </x:c>
    </x:row>
    <x:row r="11" ht="58" customHeight="1">
      <x:c r="A11" s="31" t="str">
        <x:v>07</x:v>
      </x:c>
      <x:c r="B11" s="31" t="str">
        <x:v>交付与收货协同</x:v>
      </x:c>
      <x:c r="C11" s="31" t="str">
        <x:v>设计</x:v>
      </x:c>
      <x:c r="D11" s="31" t="str">
        <x:v>集成/附件支撑</x:v>
      </x:c>
      <x:c r="E11" s="31" t="str">
        <x:v>门户支撑</x:v>
      </x:c>
      <x:c r="F11" s="31" t="str">
        <x:v>合同支撑</x:v>
      </x:c>
      <x:c r="G11" s="31" t="str">
        <x:v>主建</x:v>
      </x:c>
      <x:c r="H11" s="31" t="str">
        <x:v>联动：质量结算</x:v>
      </x:c>
      <x:c r="I11" s="31" t="str">
        <x:v>增强：交付绩效</x:v>
      </x:c>
      <x:c r="J11" s="31" t="str">
        <x:v>VMI/寄售</x:v>
      </x:c>
      <x:c r="K11" s="29" t="str">
        <x:v>交付计划、ASN、包装、在途、预约、收货、差异退货</x:v>
      </x:c>
      <x:c r="L11" s="29" t="str">
        <x:v>VMI、寄售</x:v>
      </x:c>
    </x:row>
    <x:row r="12" ht="58" customHeight="1">
      <x:c r="A12" s="31" t="str">
        <x:v>08</x:v>
      </x:c>
      <x:c r="B12" s="31" t="str">
        <x:v>供应商质量管理</x:v>
      </x:c>
      <x:c r="C12" s="31" t="str">
        <x:v>设计</x:v>
      </x:c>
      <x:c r="D12" s="31" t="str">
        <x:v>流程/附件支撑</x:v>
      </x:c>
      <x:c r="E12" s="31" t="str">
        <x:v>准入质量支撑</x:v>
      </x:c>
      <x:c r="F12" s="31" t="str">
        <x:v>寻源质量评审</x:v>
      </x:c>
      <x:c r="G12" s="31" t="str">
        <x:v>收货事实支撑</x:v>
      </x:c>
      <x:c r="H12" s="31" t="str">
        <x:v>主建</x:v>
      </x:c>
      <x:c r="I12" s="31" t="str">
        <x:v>增强：质量绩效</x:v>
      </x:c>
      <x:c r="J12" s="31" t="str">
        <x:v>APQP/PPAP</x:v>
      </x:c>
      <x:c r="K12" s="29" t="str">
        <x:v>体系审核、物料资格、试制、IQC、异常、8D、复验</x:v>
      </x:c>
      <x:c r="L12" s="29" t="str">
        <x:v>完整APQP/PPAP/FAI</x:v>
      </x:c>
    </x:row>
    <x:row r="13" ht="58" customHeight="1">
      <x:c r="A13" s="31" t="str">
        <x:v>09</x:v>
      </x:c>
      <x:c r="B13" s="31" t="str">
        <x:v>对账与结算协同</x:v>
      </x:c>
      <x:c r="C13" s="31" t="str">
        <x:v>设计</x:v>
      </x:c>
      <x:c r="D13" s="31" t="str">
        <x:v>集成底座</x:v>
      </x:c>
      <x:c r="E13" s="31" t="str">
        <x:v>供应商门户支撑</x:v>
      </x:c>
      <x:c r="F13" s="31" t="str">
        <x:v>价格依据支撑</x:v>
      </x:c>
      <x:c r="G13" s="31" t="str">
        <x:v>PO/收货事实</x:v>
      </x:c>
      <x:c r="H13" s="31" t="str">
        <x:v>主建</x:v>
      </x:c>
      <x:c r="I13" s="31" t="str">
        <x:v>增强：结算绩效</x:v>
      </x:c>
      <x:c r="J13" s="31" t="str">
        <x:v>按需增强</x:v>
      </x:c>
      <x:c r="K13" s="29" t="str">
        <x:v>对账、差异、发票、请款、应付与付款状态</x:v>
      </x:c>
      <x:c r="L13" s="29" t="str">
        <x:v>税务/融资等专题</x:v>
      </x:c>
    </x:row>
    <x:row r="14" ht="58" customHeight="1">
      <x:c r="A14" s="31" t="str">
        <x:v>10</x:v>
      </x:c>
      <x:c r="B14" s="31" t="str">
        <x:v>绩效与风险管理</x:v>
      </x:c>
      <x:c r="C14" s="31" t="str">
        <x:v>设计</x:v>
      </x:c>
      <x:c r="D14" s="31" t="str">
        <x:v>预警骨架</x:v>
      </x:c>
      <x:c r="E14" s="31" t="str">
        <x:v>供应商风险支撑</x:v>
      </x:c>
      <x:c r="F14" s="31" t="str">
        <x:v>寻源/合同风险</x:v>
      </x:c>
      <x:c r="G14" s="31" t="str">
        <x:v>交付风险事实</x:v>
      </x:c>
      <x:c r="H14" s="31" t="str">
        <x:v>质量结算事实</x:v>
      </x:c>
      <x:c r="I14" s="31" t="str">
        <x:v>主建</x:v>
      </x:c>
      <x:c r="J14" s="31" t="str">
        <x:v>AI/ESG</x:v>
      </x:c>
      <x:c r="K14" s="29" t="str">
        <x:v>指标、评分、风险、改善、供应决策和第二供应源计划</x:v>
      </x:c>
      <x:c r="L14" s="29" t="str">
        <x:v>AI预测、ESG</x:v>
      </x:c>
    </x:row>
    <x:row r="15" ht="58" customHeight="1">
      <x:c r="A15" s="31" t="str">
        <x:v>11</x:v>
      </x:c>
      <x:c r="B15" s="31" t="str">
        <x:v>基础数据中心</x:v>
      </x:c>
      <x:c r="C15" s="31" t="str">
        <x:v>设计</x:v>
      </x:c>
      <x:c r="D15" s="31" t="str">
        <x:v>主建</x:v>
      </x:c>
      <x:c r="E15" s="31" t="str">
        <x:v>增强：供应商映射</x:v>
      </x:c>
      <x:c r="F15" s="31" t="str">
        <x:v>增强：寻源/合同编码</x:v>
      </x:c>
      <x:c r="G15" s="31" t="str">
        <x:v>增强：采购交付映射</x:v>
      </x:c>
      <x:c r="H15" s="31" t="str">
        <x:v>增强：质量财务映射</x:v>
      </x:c>
      <x:c r="I15" s="31" t="str">
        <x:v>治理优化</x:v>
      </x:c>
      <x:c r="J15" s="31" t="str">
        <x:v>按需扩展</x:v>
      </x:c>
      <x:c r="K15" s="29" t="str">
        <x:v>组织、工厂、物料、品类、代码和外围映射</x:v>
      </x:c>
      <x:c r="L15" s="29" t="str">
        <x:v>行业/全球化主数据</x:v>
      </x:c>
    </x:row>
    <x:row r="16" ht="58" customHeight="1">
      <x:c r="A16" s="31" t="str">
        <x:v>12</x:v>
      </x:c>
      <x:c r="B16" s="31" t="str">
        <x:v>系统管理</x:v>
      </x:c>
      <x:c r="C16" s="31" t="str">
        <x:v>设计</x:v>
      </x:c>
      <x:c r="D16" s="31" t="str">
        <x:v>主建</x:v>
      </x:c>
      <x:c r="E16" s="31" t="str">
        <x:v>增强：供应商安全域</x:v>
      </x:c>
      <x:c r="F16" s="31" t="str">
        <x:v>增强：寻源合同流程</x:v>
      </x:c>
      <x:c r="G16" s="31" t="str">
        <x:v>增强：采购集成监控</x:v>
      </x:c>
      <x:c r="H16" s="31" t="str">
        <x:v>增强：质量结算流程</x:v>
      </x:c>
      <x:c r="I16" s="31" t="str">
        <x:v>治理优化</x:v>
      </x:c>
      <x:c r="J16" s="31" t="str">
        <x:v>按需演进</x:v>
      </x:c>
      <x:c r="K16" s="29" t="str">
        <x:v>身份权限、流程、任务、附件、审计、配置、接口监控</x:v>
      </x:c>
      <x:c r="L16" s="29" t="str">
        <x:v>真实瓶颈后再拆分服务</x:v>
      </x:c>
    </x:row>
  </x:sheetData>
  <x:mergeCells>
    <x:mergeCell ref="A1:L1"/>
    <x:mergeCell ref="A2:L2"/>
  </x:mergeCells>
  <x:conditionalFormatting sqref="C5:J16">
    <x:cfRule type="containsText" dxfId="25" priority="1" operator="containsText" text="主建"/>
    <x:cfRule type="containsText" dxfId="26" priority="2" operator="containsText" text="增强"/>
    <x:cfRule type="containsText" dxfId="27" priority="3" operator="containsText" text="联动"/>
    <x:cfRule type="containsText" dxfId="28" priority="4" operator="containsText" text="支撑"/>
    <x:cfRule type="containsText" dxfId="29" priority="5" operator="containsText" text="设计"/>
    <x:cfRule type="containsText" dxfId="30" priority="6" operator="containsText" text="储备"/>
  </x:conditionalFormatting>
  <x:pageMargins left="0.7" right="0.7" top="0.75" bottom="0.75" header="0.3" footer="0.3"/>
  <x:tableParts count="1">
    <x:tablePart xmlns:r="http://schemas.openxmlformats.org/officeDocument/2006/relationships" r:id="R44ac4377dd7940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50" hidden="0" customWidth="1"/>
    <x:col min="4" max="4" width="33" hidden="0" customWidth="1"/>
    <x:col min="5" max="5" width="12" hidden="0" customWidth="1"/>
    <x:col min="6" max="6" width="22" hidden="0" customWidth="1"/>
    <x:col min="7" max="7" width="54" hidden="0" customWidth="1"/>
    <x:col min="8" max="8" width="32" hidden="0" customWidth="1"/>
  </x:cols>
  <x:sheetData>
    <x:row r="1">
      <x:c r="A1" s="4" t="str">
        <x:v>业务关口、验收框架与核心规则</x:v>
      </x:c>
      <x:c r="B1" s="4" t="str">
        <x:v>业务关口、验收框架与核心规则</x:v>
      </x:c>
      <x:c r="C1" s="4" t="str">
        <x:v>业务关口、验收框架与核心规则</x:v>
      </x:c>
      <x:c r="D1" s="4" t="str">
        <x:v>业务关口、验收框架与核心规则</x:v>
      </x:c>
      <x:c r="E1" s="4" t="str">
        <x:v>业务关口、验收框架与核心规则</x:v>
      </x:c>
      <x:c r="F1" s="4" t="str">
        <x:v>业务关口、验收框架与核心规则</x:v>
      </x:c>
      <x:c r="G1" s="4" t="str">
        <x:v>业务关口、验收框架与核心规则</x:v>
      </x:c>
      <x:c r="H1" s="4" t="str">
        <x:v>业务关口、验收框架与核心规则</x:v>
      </x:c>
    </x:row>
    <x:row r="2">
      <x:c r="A2" s="8" t="str">
        <x:v>用于阶段出口、端到端验收和负向测试，不替代各模块详细设计。</x:v>
      </x:c>
      <x:c r="B2" s="8" t="str">
        <x:v>用于阶段出口、端到端验收和负向测试，不替代各模块详细设计。</x:v>
      </x:c>
      <x:c r="C2" s="8" t="str">
        <x:v>用于阶段出口、端到端验收和负向测试，不替代各模块详细设计。</x:v>
      </x:c>
      <x:c r="D2" s="8" t="str">
        <x:v>用于阶段出口、端到端验收和负向测试，不替代各模块详细设计。</x:v>
      </x:c>
      <x:c r="E2" s="8" t="str">
        <x:v>用于阶段出口、端到端验收和负向测试，不替代各模块详细设计。</x:v>
      </x:c>
      <x:c r="F2" s="8" t="str">
        <x:v>用于阶段出口、端到端验收和负向测试，不替代各模块详细设计。</x:v>
      </x:c>
      <x:c r="G2" s="8" t="str">
        <x:v>用于阶段出口、端到端验收和负向测试，不替代各模块详细设计。</x:v>
      </x:c>
      <x:c r="H2" s="8" t="str">
        <x:v>用于阶段出口、端到端验收和负向测试，不替代各模块详细设计。</x:v>
      </x:c>
    </x:row>
    <x:row r="3">
      <x:c r="A3" s="154"/>
      <x:c r="B3" s="154"/>
      <x:c r="C3" s="154"/>
      <x:c r="D3" s="154"/>
      <x:c r="E3" s="154"/>
      <x:c r="F3" s="154"/>
      <x:c r="G3" s="154"/>
      <x:c r="H3" s="154"/>
    </x:row>
    <x:row r="4">
      <x:c r="A4" s="16" t="str">
        <x:v>一、八个跨域业务关口</x:v>
      </x:c>
      <x:c r="B4" s="16" t="str">
        <x:v>一、八个跨域业务关口</x:v>
      </x:c>
      <x:c r="C4" s="16" t="str">
        <x:v>一、八个跨域业务关口</x:v>
      </x:c>
      <x:c r="D4" s="16" t="str">
        <x:v>一、八个跨域业务关口</x:v>
      </x:c>
      <x:c r="E4" s="16" t="str">
        <x:v>一、八个跨域业务关口</x:v>
      </x:c>
      <x:c r="F4" s="16" t="str">
        <x:v>一、八个跨域业务关口</x:v>
      </x:c>
      <x:c r="G4" s="16" t="str">
        <x:v>一、八个跨域业务关口</x:v>
      </x:c>
      <x:c r="H4" s="16" t="str">
        <x:v>一、八个跨域业务关口</x:v>
      </x:c>
    </x:row>
    <x:row r="5">
      <x:c r="A5" s="22" t="str">
        <x:v>关口</x:v>
      </x:c>
      <x:c r="B5" s="22" t="str">
        <x:v>关口名称</x:v>
      </x:c>
      <x:c r="C5" s="22" t="str">
        <x:v>通过条件</x:v>
      </x:c>
      <x:c r="D5" s="22" t="str">
        <x:v>主要阻断/证据</x:v>
      </x:c>
      <x:c r="E5" s="22" t="str">
        <x:v>场景编号</x:v>
      </x:c>
      <x:c r="F5" s="22" t="str">
        <x:v>首批端到端场景</x:v>
      </x:c>
      <x:c r="G5" s="22" t="str">
        <x:v>关键路径</x:v>
      </x:c>
      <x:c r="H5" s="22" t="str">
        <x:v>主要异常/负向验证</x:v>
      </x:c>
    </x:row>
    <x:row r="6" ht="52" customHeight="1">
      <x:c r="A6" s="30" t="str">
        <x:v>G1</x:v>
      </x:c>
      <x:c r="B6" s="30" t="str">
        <x:v>寻源邀请</x:v>
      </x:c>
      <x:c r="C6" s="28" t="str">
        <x:v>最低注册、黑名单/制裁、保密和寻源参与资格满足；例外经审批。</x:v>
      </x:c>
      <x:c r="D6" s="28" t="str">
        <x:v>资格结果、NDA、例外审批</x:v>
      </x:c>
      <x:c r="E6" s="30" t="str">
        <x:v>E2E-01</x:v>
      </x:c>
      <x:c r="F6" s="30" t="str">
        <x:v>已有正式供应源</x:v>
      </x:c>
      <x:c r="G6" s="28" t="str">
        <x:v>需求→匹配→多供应商分配→PO→确认→ASN→收货→IQC→对账→付款</x:v>
      </x:c>
      <x:c r="H6" s="28" t="str">
        <x:v>供应源失效、晚交、超发、短收、未付款误显示</x:v>
      </x:c>
    </x:row>
    <x:row r="7" ht="52" customHeight="1">
      <x:c r="A7" s="31" t="str">
        <x:v>G2</x:v>
      </x:c>
      <x:c r="B7" s="31" t="str">
        <x:v>定标批准</x:v>
      </x:c>
      <x:c r="C7" s="29" t="str">
        <x:v>技术、质量、商务、交付和风险评审完整；评委、报价版本和利益冲突可追溯。</x:v>
      </x:c>
      <x:c r="D7" s="29" t="str">
        <x:v>评分、评委声明、定标理由</x:v>
      </x:c>
      <x:c r="E7" s="31" t="str">
        <x:v>E2E-02</x:v>
      </x:c>
      <x:c r="F7" s="31" t="str">
        <x:v>新供应商NPI</x:v>
      </x:c>
      <x:c r="G7" s="29" t="str">
        <x:v>新物料寻源→预审→报价/评审→条件定标→并行转化→试制源→量产认可→正式源</x:v>
      </x:c>
      <x:c r="H7" s="29" t="str">
        <x:v>定标后跳过准入/资格/依据、试制自动转量产</x:v>
      </x:c>
    </x:row>
    <x:row r="8" ht="52" customHeight="1">
      <x:c r="A8" s="31" t="str">
        <x:v>G3</x:v>
      </x:c>
      <x:c r="B8" s="31" t="str">
        <x:v>供应源激活</x:v>
      </x:c>
      <x:c r="C8" s="29" t="str">
        <x:v>主体/站点准入、物料资格、采购依据、价格、范围、能力和有效期符合策略。</x:v>
      </x:c>
      <x:c r="D8" s="29" t="str">
        <x:v>激活规则快照、缺项清单</x:v>
      </x:c>
      <x:c r="E8" s="31" t="str">
        <x:v>E2E-03</x:v>
      </x:c>
      <x:c r="F8" s="31" t="str">
        <x:v>需求部分缺口</x:v>
      </x:c>
      <x:c r="G8" s="29" t="str">
        <x:v>现有源覆盖部分→分配→缺口触发寻源→新源转化→剩余分配</x:v>
      </x:c>
      <x:c r="H8" s="29" t="str">
        <x:v>缺口无关闭依据、重复覆盖</x:v>
      </x:c>
    </x:row>
    <x:row r="9" ht="52" customHeight="1">
      <x:c r="A9" s="31" t="str">
        <x:v>G4</x:v>
      </x:c>
      <x:c r="B9" s="31" t="str">
        <x:v>需求分配</x:v>
      </x:c>
      <x:c r="C9" s="29" t="str">
        <x:v>供应源允许、范围覆盖、能力可满足、未超限制且无阻断风险。</x:v>
      </x:c>
      <x:c r="D9" s="29" t="str">
        <x:v>匹配依据、人工调整原因</x:v>
      </x:c>
      <x:c r="E9" s="31" t="str">
        <x:v>E2E-04</x:v>
      </x:c>
      <x:c r="F9" s="31" t="str">
        <x:v>年度议价</x:v>
      </x:c>
      <x:c r="G9" s="29" t="str">
        <x:v>复用供应商/供应源→多轮报价→新价格版本→配额调整→后续PO使用新价</x:v>
      </x:c>
      <x:c r="H9" s="29" t="str">
        <x:v>历史PO价格被新版本覆盖</x:v>
      </x:c>
    </x:row>
    <x:row r="10" ht="52" customHeight="1">
      <x:c r="A10" s="31" t="str">
        <x:v>G5</x:v>
      </x:c>
      <x:c r="B10" s="31" t="str">
        <x:v>PO发布</x:v>
      </x:c>
      <x:c r="C10" s="29" t="str">
        <x:v>重新校验供应源、价格、依据、审批、数量和交付信息。</x:v>
      </x:c>
      <x:c r="D10" s="29" t="str">
        <x:v>发布快照、正式PO版本</x:v>
      </x:c>
      <x:c r="E10" s="31" t="str">
        <x:v>E2E-05</x:v>
      </x:c>
      <x:c r="F10" s="31" t="str">
        <x:v>紧急采购</x:v>
      </x:c>
      <x:c r="G10" s="29" t="str">
        <x:v>最低核验→快速询价→例外审批→限量限期条件源→一次性PO→到期关闭</x:v>
      </x:c>
      <x:c r="H10" s="29" t="str">
        <x:v>例外自动转正式源、超量/超期</x:v>
      </x:c>
    </x:row>
    <x:row r="11" ht="52" customHeight="1">
      <x:c r="A11" s="31" t="str">
        <x:v>G6</x:v>
      </x:c>
      <x:c r="B11" s="31" t="str">
        <x:v>ASN提交</x:v>
      </x:c>
      <x:c r="C11" s="29" t="str">
        <x:v>不超过可发运量和容差；批次、包装、标签及质保资料完整。</x:v>
      </x:c>
      <x:c r="D11" s="29" t="str">
        <x:v>可发运量计算、ASN版本</x:v>
      </x:c>
      <x:c r="E11" s="31" t="str">
        <x:v>E2E-06</x:v>
      </x:c>
      <x:c r="F11" s="31" t="str">
        <x:v>质量异常</x:v>
      </x:c>
      <x:c r="G11" s="29" t="str">
        <x:v>IQC不合格→隔离/退货→8D→复验→资格/供应源限制→绩效扣分</x:v>
      </x:c>
      <x:c r="H11" s="29" t="str">
        <x:v>无验证关闭、特采变长期标准</x:v>
      </x:c>
    </x:row>
    <x:row r="12" ht="52" customHeight="1">
      <x:c r="A12" s="31" t="str">
        <x:v>G7</x:v>
      </x:c>
      <x:c r="B12" s="31" t="str">
        <x:v>可结算</x:v>
      </x:c>
      <x:c r="C12" s="29" t="str">
        <x:v>收货、质量、退货、价格、税费和发票符合策略；差异关闭或授权接受。</x:v>
      </x:c>
      <x:c r="D12" s="29" t="str">
        <x:v>匹配结果、差异处理证据</x:v>
      </x:c>
      <x:c r="E12" s="31" t="str">
        <x:v>E2E-07</x:v>
      </x:c>
      <x:c r="F12" s="31" t="str">
        <x:v>供应商冻结</x:v>
      </x:c>
      <x:c r="G12" s="29" t="str">
        <x:v>重大风险→冻结新业务→开放PO清单→继续/替代/取消→第二供应源</x:v>
      </x:c>
      <x:c r="H12" s="29" t="str">
        <x:v>冻结修改历史、开放订单无处置</x:v>
      </x:c>
    </x:row>
    <x:row r="13" ht="52" customHeight="1">
      <x:c r="A13" s="31" t="str">
        <x:v>G8</x:v>
      </x:c>
      <x:c r="B13" s="31" t="str">
        <x:v>供应决策</x:v>
      </x:c>
      <x:c r="C13" s="29" t="str">
        <x:v>评分、风险、影响范围和开放订单处置完整并经授权审批。</x:v>
      </x:c>
      <x:c r="D13" s="29" t="str">
        <x:v>评分事实、审批和执行记录</x:v>
      </x:c>
      <x:c r="E13" s="31" t="str">
        <x:v>E2E-08</x:v>
      </x:c>
      <x:c r="F13" s="31" t="str">
        <x:v>对账差异</x:v>
      </x:c>
      <x:c r="G13" s="29" t="str">
        <x:v>价格/数量/退货不一致→差异分派→调整/接受→发票/请款→应付/付款</x:v>
      </x:c>
      <x:c r="H13" s="29" t="str">
        <x:v>对账一致直接显示已付款、重复发票</x:v>
      </x:c>
    </x:row>
    <x:row r="14">
      <x:c r="A14" s="154"/>
      <x:c r="B14" s="154"/>
      <x:c r="C14" s="154"/>
      <x:c r="D14" s="154"/>
      <x:c r="E14" s="154"/>
      <x:c r="F14" s="154"/>
      <x:c r="G14" s="154"/>
      <x:c r="H14" s="154"/>
    </x:row>
    <x:row r="15">
      <x:c r="A15" s="16" t="str">
        <x:v>二、总体验收维度</x:v>
      </x:c>
      <x:c r="B15" s="16" t="str">
        <x:v>二、总体验收维度</x:v>
      </x:c>
      <x:c r="C15" s="16" t="str">
        <x:v>二、总体验收维度</x:v>
      </x:c>
      <x:c r="D15" s="16" t="str">
        <x:v>二、总体验收维度</x:v>
      </x:c>
      <x:c r="E15" s="16" t="str">
        <x:v>三、核心业务规则（BR）</x:v>
      </x:c>
      <x:c r="F15" s="16" t="str">
        <x:v>三、核心业务规则（BR）</x:v>
      </x:c>
      <x:c r="G15" s="16" t="str">
        <x:v>三、核心业务规则（BR）</x:v>
      </x:c>
      <x:c r="H15" s="16" t="str">
        <x:v>三、核心业务规则（BR）</x:v>
      </x:c>
    </x:row>
    <x:row r="16">
      <x:c r="A16" s="22" t="str">
        <x:v>维度</x:v>
      </x:c>
      <x:c r="B16" s="22" t="str">
        <x:v>验收重点</x:v>
      </x:c>
      <x:c r="C16" s="22" t="str">
        <x:v>示例证据</x:v>
      </x:c>
      <x:c r="D16" s="154"/>
      <x:c r="E16" s="22" t="str">
        <x:v>规则编号</x:v>
      </x:c>
      <x:c r="F16" s="22" t="str">
        <x:v>核心规则</x:v>
      </x:c>
      <x:c r="G16" s="22" t="str">
        <x:v>涉及阶段</x:v>
      </x:c>
      <x:c r="H16" s="22" t="str">
        <x:v>主要验证方式</x:v>
      </x:c>
    </x:row>
    <x:row r="17" ht="38" customHeight="1">
      <x:c r="A17" s="28" t="str">
        <x:v>业务闭环</x:v>
      </x:c>
      <x:c r="B17" s="28" t="str">
        <x:v>标准路径和异常路径均可完成，状态、责任和下一步清晰</x:v>
      </x:c>
      <x:c r="C17" s="28" t="str">
        <x:v>端到端场景脚本、业务单据链</x:v>
      </x:c>
      <x:c r="D17" s="154"/>
      <x:c r="E17" s="30" t="str">
        <x:v>BR-001</x:v>
      </x:c>
      <x:c r="F17" s="28" t="str">
        <x:v>定标不能直接赋予正式下单资格。</x:v>
      </x:c>
      <x:c r="G17" s="28" t="str">
        <x:v>阶段3–4</x:v>
      </x:c>
      <x:c r="H17" s="28" t="str">
        <x:v>绕过G3/G5负向用例</x:v>
      </x:c>
    </x:row>
    <x:row r="18" ht="38" customHeight="1">
      <x:c r="A18" s="29" t="str">
        <x:v>治理有效</x:v>
      </x:c>
      <x:c r="B18" s="29" t="str">
        <x:v>准入、资格、依据、供应源和PO关口不能被普通操作绕过</x:v>
      </x:c>
      <x:c r="C18" s="29" t="str">
        <x:v>负向用例、审批和阻断日志</x:v>
      </x:c>
      <x:c r="D18" s="154"/>
      <x:c r="E18" s="31" t="str">
        <x:v>BR-002</x:v>
      </x:c>
      <x:c r="F18" s="29" t="str">
        <x:v>主体已准入不代表全部站点、物料和工厂均可供货。</x:v>
      </x:c>
      <x:c r="G18" s="29" t="str">
        <x:v>阶段2–4</x:v>
      </x:c>
      <x:c r="H18" s="29" t="str">
        <x:v>跨站点/物料越权与范围校验</x:v>
      </x:c>
    </x:row>
    <x:row r="19" ht="38" customHeight="1">
      <x:c r="A19" s="29" t="str">
        <x:v>数据一致</x:v>
      </x:c>
      <x:c r="B19" s="29" t="str">
        <x:v>内外门户、SRM与外围系统、历史版本和汇总口径一致</x:v>
      </x:c>
      <x:c r="C19" s="29" t="str">
        <x:v>接口对账、版本、抽样追溯</x:v>
      </x:c>
      <x:c r="D19" s="154"/>
      <x:c r="E19" s="31" t="str">
        <x:v>BR-003</x:v>
      </x:c>
      <x:c r="F19" s="29" t="str">
        <x:v>准入、资格和采购依据可并行完成，但供应源激活按场景统一校验。</x:v>
      </x:c>
      <x:c r="G19" s="29" t="str">
        <x:v>阶段2–5</x:v>
      </x:c>
      <x:c r="H19" s="29" t="str">
        <x:v>并行任务与缺项阻断</x:v>
      </x:c>
    </x:row>
    <x:row r="20" ht="38" customHeight="1">
      <x:c r="A20" s="29" t="str">
        <x:v>权限安全</x:v>
      </x:c>
      <x:c r="B20" s="29" t="str">
        <x:v>角色、数据域、供应商隔离、字段附件和职责分离正确</x:v>
      </x:c>
      <x:c r="C20" s="29" t="str">
        <x:v>权限矩阵、越权测试、安全测试</x:v>
      </x:c>
      <x:c r="D20" s="154"/>
      <x:c r="E20" s="31" t="str">
        <x:v>BR-004</x:v>
      </x:c>
      <x:c r="F20" s="29" t="str">
        <x:v>正式生产订单默认只能使用正式供应源；试制/条件订单受限。</x:v>
      </x:c>
      <x:c r="G20" s="29" t="str">
        <x:v>阶段2–5</x:v>
      </x:c>
      <x:c r="H20" s="29" t="str">
        <x:v>订单类型、数量、期限负向用例</x:v>
      </x:c>
    </x:row>
    <x:row r="21" ht="38" customHeight="1">
      <x:c r="A21" s="29" t="str">
        <x:v>可用性</x:v>
      </x:c>
      <x:c r="B21" s="29" t="str">
        <x:v>清单、表单、批量、错误提示和任务符合实际工作</x:v>
      </x:c>
      <x:c r="C21" s="29" t="str">
        <x:v>用户验收、可用性问题清单</x:v>
      </x:c>
      <x:c r="D21" s="154"/>
      <x:c r="E21" s="31" t="str">
        <x:v>BR-005</x:v>
      </x:c>
      <x:c r="F21" s="29" t="str">
        <x:v>采购依据可为合同、协议、PO条款或批准例外，但必须覆盖当前交易。</x:v>
      </x:c>
      <x:c r="G21" s="29" t="str">
        <x:v>阶段3–4</x:v>
      </x:c>
      <x:c r="H21" s="29" t="str">
        <x:v>覆盖范围与有效期校验</x:v>
      </x:c>
    </x:row>
    <x:row r="22" ht="38" customHeight="1">
      <x:c r="A22" s="29" t="str">
        <x:v>性能可靠</x:v>
      </x:c>
      <x:c r="B22" s="29" t="str">
        <x:v>关键页面、接口、批任务、备份恢复和监控达标</x:v>
      </x:c>
      <x:c r="C22" s="29" t="str">
        <x:v>压测、恢复演练、监控报告</x:v>
      </x:c>
      <x:c r="D22" s="154"/>
      <x:c r="E22" s="31" t="str">
        <x:v>BR-006</x:v>
      </x:c>
      <x:c r="F22" s="29" t="str">
        <x:v>需求匹配、分配发布和PO发布均校验供应源。</x:v>
      </x:c>
      <x:c r="G22" s="29" t="str">
        <x:v>阶段4</x:v>
      </x:c>
      <x:c r="H22" s="29" t="str">
        <x:v>状态变化后的二次/最终校验</x:v>
      </x:c>
    </x:row>
    <x:row r="23" ht="38" customHeight="1">
      <x:c r="A23" s="29" t="str">
        <x:v>审计追溯</x:v>
      </x:c>
      <x:c r="B23" s="29" t="str">
        <x:v>关键决定、版本、人员、时间、理由和证据完整</x:v>
      </x:c>
      <x:c r="C23" s="29" t="str">
        <x:v>审计抽样、导出与历史回放</x:v>
      </x:c>
      <x:c r="D23" s="154"/>
      <x:c r="E23" s="31" t="str">
        <x:v>BR-007</x:v>
      </x:c>
      <x:c r="F23" s="29" t="str">
        <x:v>定标份额、供应配额和实际分配互不替代。</x:v>
      </x:c>
      <x:c r="G23" s="29" t="str">
        <x:v>阶段3–6</x:v>
      </x:c>
      <x:c r="H23" s="29" t="str">
        <x:v>三类对象及调整原因追溯</x:v>
      </x:c>
    </x:row>
    <x:row r="24" ht="38" customHeight="1">
      <x:c r="A24" s="154"/>
      <x:c r="B24" s="154"/>
      <x:c r="C24" s="154"/>
      <x:c r="D24" s="154"/>
      <x:c r="E24" s="31" t="str">
        <x:v>BR-008</x:v>
      </x:c>
      <x:c r="F24" s="29" t="str">
        <x:v>供应商只能提交订单承诺/差异，不得修改正式PO。</x:v>
      </x:c>
      <x:c r="G24" s="29" t="str">
        <x:v>阶段4</x:v>
      </x:c>
      <x:c r="H24" s="29" t="str">
        <x:v>供应商端越权测试</x:v>
      </x:c>
    </x:row>
    <x:row r="25" ht="38" customHeight="1">
      <x:c r="A25" s="154"/>
      <x:c r="B25" s="154"/>
      <x:c r="C25" s="154"/>
      <x:c r="D25" s="154"/>
      <x:c r="E25" s="31" t="str">
        <x:v>BR-009</x:v>
      </x:c>
      <x:c r="F25" s="29" t="str">
        <x:v>ASN不得超过可发运量及容差，数量随取消/收货实时重算。</x:v>
      </x:c>
      <x:c r="G25" s="29" t="str">
        <x:v>阶段4</x:v>
      </x:c>
      <x:c r="H25" s="29" t="str">
        <x:v>并发、重复、超发用例</x:v>
      </x:c>
    </x:row>
    <x:row r="26" ht="38" customHeight="1">
      <x:c r="A26" s="154"/>
      <x:c r="B26" s="154"/>
      <x:c r="C26" s="154"/>
      <x:c r="D26" s="154"/>
      <x:c r="E26" s="31" t="str">
        <x:v>BR-010</x:v>
      </x:c>
      <x:c r="F26" s="29" t="str">
        <x:v>检验、退货和质量扣款影响可结算数量；对账一致不等于付款。</x:v>
      </x:c>
      <x:c r="G26" s="29" t="str">
        <x:v>阶段5</x:v>
      </x:c>
      <x:c r="H26" s="29" t="str">
        <x:v>数量链与状态分离验证</x:v>
      </x:c>
    </x:row>
    <x:row r="27" ht="38" customHeight="1">
      <x:c r="A27" s="154"/>
      <x:c r="B27" s="154"/>
      <x:c r="C27" s="154"/>
      <x:c r="D27" s="154"/>
      <x:c r="E27" s="31" t="str">
        <x:v>BR-011</x:v>
      </x:c>
      <x:c r="F27" s="29" t="str">
        <x:v>冻结或退出不修改历史事实，只限制新业务并处置开放订单。</x:v>
      </x:c>
      <x:c r="G27" s="29" t="str">
        <x:v>阶段2、6</x:v>
      </x:c>
      <x:c r="H27" s="29" t="str">
        <x:v>历史快照与开放订单清单</x:v>
      </x:c>
    </x:row>
    <x:row r="28" ht="38" customHeight="1">
      <x:c r="A28" s="154"/>
      <x:c r="B28" s="154"/>
      <x:c r="C28" s="154"/>
      <x:c r="D28" s="154"/>
      <x:c r="E28" s="31" t="str">
        <x:v>BR-012</x:v>
      </x:c>
      <x:c r="F28" s="29" t="str">
        <x:v>关键状态、价格、资格、合同、供应源和PO版本化，不覆盖历史。</x:v>
      </x:c>
      <x:c r="G28" s="29" t="str">
        <x:v>全阶段</x:v>
      </x:c>
      <x:c r="H28" s="29" t="str">
        <x:v>版本回放与旧版本防覆盖</x:v>
      </x:c>
    </x:row>
    <x:row r="29" ht="38" customHeight="1">
      <x:c r="A29" s="154"/>
      <x:c r="B29" s="154"/>
      <x:c r="C29" s="154"/>
      <x:c r="D29" s="154"/>
      <x:c r="E29" s="31" t="str">
        <x:v>BR-013</x:v>
      </x:c>
      <x:c r="F29" s="29" t="str">
        <x:v>供应商用户后端强制绑定主体/站点。</x:v>
      </x:c>
      <x:c r="G29" s="29" t="str">
        <x:v>阶段1–6</x:v>
      </x:c>
      <x:c r="H29" s="29" t="str">
        <x:v>IDOR、导出、附件越权测试</x:v>
      </x:c>
    </x:row>
    <x:row r="30" ht="38" customHeight="1">
      <x:c r="A30" s="154"/>
      <x:c r="B30" s="154"/>
      <x:c r="C30" s="154"/>
      <x:c r="D30" s="154"/>
      <x:c r="E30" s="31" t="str">
        <x:v>BR-014</x:v>
      </x:c>
      <x:c r="F30" s="29" t="str">
        <x:v>接口幂等、乱序和重试与业务状态分离。</x:v>
      </x:c>
      <x:c r="G30" s="29" t="str">
        <x:v>阶段1、4、5</x:v>
      </x:c>
      <x:c r="H30" s="29" t="str">
        <x:v>重复/乱序/失败重试测试</x:v>
      </x:c>
    </x:row>
    <x:row r="31" ht="38" customHeight="1">
      <x:c r="A31" s="154"/>
      <x:c r="B31" s="154"/>
      <x:c r="C31" s="154"/>
      <x:c r="D31" s="154"/>
      <x:c r="E31" s="31" t="str">
        <x:v>BR-015</x:v>
      </x:c>
      <x:c r="F31" s="29" t="str">
        <x:v>用户不得审批本人发起且受职责分离约束的关键业务。</x:v>
      </x:c>
      <x:c r="G31" s="29" t="str">
        <x:v>全阶段</x:v>
      </x:c>
      <x:c r="H31" s="29" t="str">
        <x:v>SoD负向用例</x:v>
      </x:c>
    </x:row>
  </x:sheetData>
  <x:mergeCells>
    <x:mergeCell ref="A1:H1"/>
    <x:mergeCell ref="A2:H2"/>
    <x:mergeCell ref="A4:H4"/>
    <x:mergeCell ref="A15:H15"/>
    <x:mergeCell ref="E15:H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4" hidden="0" customWidth="1"/>
    <x:col min="4" max="4" width="50" hidden="0" customWidth="1"/>
    <x:col min="5" max="5" width="28" hidden="0" customWidth="1"/>
    <x:col min="6" max="6" width="15" hidden="0" customWidth="1"/>
    <x:col min="7" max="7" width="18" hidden="0" customWidth="1"/>
    <x:col min="8" max="8" width="12" hidden="0" customWidth="1"/>
    <x:col min="9" max="9" width="40" hidden="0" customWidth="1"/>
    <x:col min="10" max="10" width="22" hidden="0" customWidth="1"/>
  </x:cols>
  <x:sheetData>
    <x:row r="1">
      <x:c r="A1" s="4" t="str">
        <x:v>V1.0 关键待决策事项</x:v>
      </x:c>
      <x:c r="B1" s="4" t="str">
        <x:v>V1.0 关键待决策事项</x:v>
      </x:c>
      <x:c r="C1" s="4" t="str">
        <x:v>V1.0 关键待决策事项</x:v>
      </x:c>
      <x:c r="D1" s="4" t="str">
        <x:v>V1.0 关键待决策事项</x:v>
      </x:c>
      <x:c r="E1" s="4" t="str">
        <x:v>V1.0 关键待决策事项</x:v>
      </x:c>
      <x:c r="F1" s="4" t="str">
        <x:v>V1.0 关键待决策事项</x:v>
      </x:c>
      <x:c r="G1" s="4" t="str">
        <x:v>V1.0 关键待决策事项</x:v>
      </x:c>
      <x:c r="H1" s="4" t="str">
        <x:v>V1.0 关键待决策事项</x:v>
      </x:c>
      <x:c r="I1" s="4" t="str">
        <x:v>V1.0 关键待决策事项</x:v>
      </x:c>
      <x:c r="J1" s="4" t="str">
        <x:v>V1.0 关键待决策事项</x:v>
      </x:c>
    </x:row>
    <x:row r="2">
      <x:c r="A2" s="8" t="str">
        <x:v>建议基线用于启动讨论，不视为最终批准；决策必须在对应阶段进入前关闭。</x:v>
      </x:c>
      <x:c r="B2" s="8" t="str">
        <x:v>建议基线用于启动讨论，不视为最终批准；决策必须在对应阶段进入前关闭。</x:v>
      </x:c>
      <x:c r="C2" s="8" t="str">
        <x:v>建议基线用于启动讨论，不视为最终批准；决策必须在对应阶段进入前关闭。</x:v>
      </x:c>
      <x:c r="D2" s="8" t="str">
        <x:v>建议基线用于启动讨论，不视为最终批准；决策必须在对应阶段进入前关闭。</x:v>
      </x:c>
      <x:c r="E2" s="8" t="str">
        <x:v>建议基线用于启动讨论，不视为最终批准；决策必须在对应阶段进入前关闭。</x:v>
      </x:c>
      <x:c r="F2" s="8" t="str">
        <x:v>建议基线用于启动讨论，不视为最终批准；决策必须在对应阶段进入前关闭。</x:v>
      </x:c>
      <x:c r="G2" s="8" t="str">
        <x:v>建议基线用于启动讨论，不视为最终批准；决策必须在对应阶段进入前关闭。</x:v>
      </x:c>
      <x:c r="H2" s="8" t="str">
        <x:v>建议基线用于启动讨论，不视为最终批准；决策必须在对应阶段进入前关闭。</x:v>
      </x:c>
      <x:c r="I2" s="8" t="str">
        <x:v>建议基线用于启动讨论，不视为最终批准；决策必须在对应阶段进入前关闭。</x:v>
      </x:c>
      <x:c r="J2" s="8" t="str">
        <x:v>建议基线用于启动讨论，不视为最终批准；决策必须在对应阶段进入前关闭。</x:v>
      </x:c>
    </x:row>
    <x:row r="3">
      <x:c r="A3" s="154"/>
      <x:c r="B3" s="154"/>
      <x:c r="C3" s="154"/>
      <x:c r="D3" s="154"/>
      <x:c r="E3" s="154"/>
      <x:c r="F3" s="154"/>
      <x:c r="G3" s="154"/>
      <x:c r="H3" s="154"/>
      <x:c r="I3" s="154"/>
      <x:c r="J3" s="154"/>
    </x:row>
    <x:row r="4">
      <x:c r="A4" s="22" t="str">
        <x:v>决策ID</x:v>
      </x:c>
      <x:c r="B4" s="22" t="str">
        <x:v>待决策事项</x:v>
      </x:c>
      <x:c r="C4" s="22" t="str">
        <x:v>需确认内容</x:v>
      </x:c>
      <x:c r="D4" s="22" t="str">
        <x:v>建议基线</x:v>
      </x:c>
      <x:c r="E4" s="22" t="str">
        <x:v>影响范围</x:v>
      </x:c>
      <x:c r="F4" s="22" t="str">
        <x:v>最晚关闭阶段</x:v>
      </x:c>
      <x:c r="G4" s="22" t="str">
        <x:v>责任方</x:v>
      </x:c>
      <x:c r="H4" s="22" t="str">
        <x:v>状态</x:v>
      </x:c>
      <x:c r="I4" s="22" t="str">
        <x:v>最终结论</x:v>
      </x:c>
      <x:c r="J4" s="22" t="str">
        <x:v>备注</x:v>
      </x:c>
    </x:row>
    <x:row r="5" ht="55" customHeight="1">
      <x:c r="A5" s="30" t="str">
        <x:v>D-001</x:v>
      </x:c>
      <x:c r="B5" s="28" t="str">
        <x:v>正式PO权威源</x:v>
      </x:c>
      <x:c r="C5" s="28" t="str">
        <x:v>目标企业是否已有ERP；V1.0采用ERP权威还是SRM原生过渡模式。</x:v>
      </x:c>
      <x:c r="D5" s="28" t="str">
        <x:v>个人/独立项目先采用SRM原生PO，保留外部ID/版本和ERP切换接口。</x:v>
      </x:c>
      <x:c r="E5" s="28" t="str">
        <x:v>采购协同、审批、编号、接口、收货结算</x:v>
      </x:c>
      <x:c r="F5" s="30" t="str">
        <x:v>阶段0</x:v>
      </x:c>
      <x:c r="G5" s="30" t="str">
        <x:v>业务负责人/产品</x:v>
      </x:c>
      <x:c r="H5" s="30" t="str">
        <x:v>待确认</x:v>
      </x:c>
      <x:c r="I5" s="28" t="str"/>
      <x:c r="J5" s="28" t="str"/>
    </x:row>
    <x:row r="6" ht="55" customHeight="1">
      <x:c r="A6" s="31" t="str">
        <x:v>D-002</x:v>
      </x:c>
      <x:c r="B6" s="29" t="str">
        <x:v>行业深度</x:v>
      </x:c>
      <x:c r="C6" s="29" t="str">
        <x:v>消费电子通用制造，还是首期完整支持汽车APQP/PPAP与计划协议。</x:v>
      </x:c>
      <x:c r="D6" s="29" t="str">
        <x:v>V1.0采用通用制造的技术评审、样件、试制、量产认可；完整APQP/PPAP列入阶段7。</x:v>
      </x:c>
      <x:c r="E6" s="29" t="str">
        <x:v>质量流程、字段、模板、工期</x:v>
      </x:c>
      <x:c r="F6" s="31" t="str">
        <x:v>阶段0</x:v>
      </x:c>
      <x:c r="G6" s="31" t="str">
        <x:v>业务负责人/质量</x:v>
      </x:c>
      <x:c r="H6" s="31" t="str">
        <x:v>待确认</x:v>
      </x:c>
      <x:c r="I6" s="29" t="str"/>
      <x:c r="J6" s="29" t="str"/>
    </x:row>
    <x:row r="7" ht="55" customHeight="1">
      <x:c r="A7" s="31" t="str">
        <x:v>D-003</x:v>
      </x:c>
      <x:c r="B7" s="29" t="str">
        <x:v>组织与数据域</x:v>
      </x:c>
      <x:c r="C7" s="29" t="str">
        <x:v>法律主体、采购组织、事业部、工厂、品类和供应商归属规则。</x:v>
      </x:c>
      <x:c r="D7" s="29" t="str">
        <x:v>沿用集团→公司→事业部→工厂层级，并新增采购组织、品类和供应商数据域。</x:v>
      </x:c>
      <x:c r="E7" s="29" t="str">
        <x:v>权限、审批、主数据、报表</x:v>
      </x:c>
      <x:c r="F7" s="31" t="str">
        <x:v>阶段0</x:v>
      </x:c>
      <x:c r="G7" s="31" t="str">
        <x:v>业务负责人/产品</x:v>
      </x:c>
      <x:c r="H7" s="31" t="str">
        <x:v>待确认</x:v>
      </x:c>
      <x:c r="I7" s="29" t="str"/>
      <x:c r="J7" s="29" t="str"/>
    </x:row>
    <x:row r="8" ht="55" customHeight="1">
      <x:c r="A8" s="31" t="str">
        <x:v>D-004</x:v>
      </x:c>
      <x:c r="B8" s="29" t="str">
        <x:v>供应商准入策略</x:v>
      </x:c>
      <x:c r="C8" s="29" t="str">
        <x:v>不同物料/风险的问卷、审核、证照、复审和例外规则。</x:v>
      </x:c>
      <x:c r="D8" s="29" t="str">
        <x:v>按低/中/高风险分层；新供应商先最低预审参与寻源，中选后完成交易准入。</x:v>
      </x:c>
      <x:c r="E8" s="29" t="str">
        <x:v>供应商管理、寻源、供应源</x:v>
      </x:c>
      <x:c r="F8" s="31" t="str">
        <x:v>阶段1前</x:v>
      </x:c>
      <x:c r="G8" s="31" t="str">
        <x:v>采购/SQE</x:v>
      </x:c>
      <x:c r="H8" s="31" t="str">
        <x:v>待确认</x:v>
      </x:c>
      <x:c r="I8" s="29" t="str"/>
      <x:c r="J8" s="29" t="str"/>
    </x:row>
    <x:row r="9" ht="55" customHeight="1">
      <x:c r="A9" s="31" t="str">
        <x:v>D-005</x:v>
      </x:c>
      <x:c r="B9" s="29" t="str">
        <x:v>采购依据政策</x:v>
      </x:c>
      <x:c r="C9" s="29" t="str">
        <x:v>哪些场景必须合同，哪些允许PO条款、试制协议或紧急例外。</x:v>
      </x:c>
      <x:c r="D9" s="29" t="str">
        <x:v>关键/定制/高金额要求合同；标准低风险可采用批准PO条款；试制和紧急路径限量限期。</x:v>
      </x:c>
      <x:c r="E9" s="29" t="str">
        <x:v>合同、供应源激活、PO校验</x:v>
      </x:c>
      <x:c r="F9" s="31" t="str">
        <x:v>阶段2前</x:v>
      </x:c>
      <x:c r="G9" s="31" t="str">
        <x:v>采购/法务</x:v>
      </x:c>
      <x:c r="H9" s="31" t="str">
        <x:v>待确认</x:v>
      </x:c>
      <x:c r="I9" s="29" t="str"/>
      <x:c r="J9" s="29" t="str"/>
    </x:row>
    <x:row r="10" ht="55" customHeight="1">
      <x:c r="A10" s="31" t="str">
        <x:v>D-006</x:v>
      </x:c>
      <x:c r="B10" s="29" t="str">
        <x:v>质量权威边界</x:v>
      </x:c>
      <x:c r="C10" s="29" t="str">
        <x:v>IQC权威系统、物料资格模板、试制/量产认可和特采规则。</x:v>
      </x:c>
      <x:c r="D10" s="29" t="str">
        <x:v>SRM管理资格与异常协同；V1.0支持IQC接口和人工模拟录入两种方式。</x:v>
      </x:c>
      <x:c r="E10" s="29" t="str">
        <x:v>质量、供应源、收货、结算</x:v>
      </x:c>
      <x:c r="F10" s="31" t="str">
        <x:v>阶段3前</x:v>
      </x:c>
      <x:c r="G10" s="31" t="str">
        <x:v>SQE/质量</x:v>
      </x:c>
      <x:c r="H10" s="31" t="str">
        <x:v>待确认</x:v>
      </x:c>
      <x:c r="I10" s="29" t="str"/>
      <x:c r="J10" s="29" t="str"/>
    </x:row>
    <x:row r="11" ht="55" customHeight="1">
      <x:c r="A11" s="31" t="str">
        <x:v>D-007</x:v>
      </x:c>
      <x:c r="B11" s="29" t="str">
        <x:v>结算方式</x:v>
      </x:c>
      <x:c r="C11" s="29" t="str">
        <x:v>对账周期、三单/四单匹配、发票平台、请款和扣款规则。</x:v>
      </x:c>
      <x:c r="D11" s="29" t="str">
        <x:v>月度对账，PO+收货+质量/退货+发票四单逻辑；ERP/财务保留应付和付款权威。</x:v>
      </x:c>
      <x:c r="E11" s="29" t="str">
        <x:v>对账、发票、财务接口</x:v>
      </x:c>
      <x:c r="F11" s="31" t="str">
        <x:v>阶段4前</x:v>
      </x:c>
      <x:c r="G11" s="31" t="str">
        <x:v>采购/财务</x:v>
      </x:c>
      <x:c r="H11" s="31" t="str">
        <x:v>待确认</x:v>
      </x:c>
      <x:c r="I11" s="29" t="str"/>
      <x:c r="J11" s="29" t="str"/>
    </x:row>
    <x:row r="12" ht="55" customHeight="1">
      <x:c r="A12" s="31" t="str">
        <x:v>D-008</x:v>
      </x:c>
      <x:c r="B12" s="29" t="str">
        <x:v>电子签署</x:v>
      </x:c>
      <x:c r="C12" s="29" t="str">
        <x:v>外部电子签平台、线下签署或首期仅存合同元数据。</x:v>
      </x:c>
      <x:c r="D12" s="29" t="str">
        <x:v>V1.0保存合同元数据、版本和签署附件；电子签平台列入阶段7。</x:v>
      </x:c>
      <x:c r="E12" s="29" t="str">
        <x:v>合同证据、安全、集成</x:v>
      </x:c>
      <x:c r="F12" s="31" t="str">
        <x:v>阶段2前</x:v>
      </x:c>
      <x:c r="G12" s="31" t="str">
        <x:v>法务/IT</x:v>
      </x:c>
      <x:c r="H12" s="31" t="str">
        <x:v>待确认</x:v>
      </x:c>
      <x:c r="I12" s="29" t="str"/>
      <x:c r="J12" s="29" t="str"/>
    </x:row>
    <x:row r="13" ht="55" customHeight="1">
      <x:c r="A13" s="31" t="str">
        <x:v>D-009</x:v>
      </x:c>
      <x:c r="B13" s="29" t="str">
        <x:v>部署目标</x:v>
      </x:c>
      <x:c r="C13" s="29" t="str">
        <x:v>首期用户/供应商/单据量、SLA、备份恢复和正式环境资源。</x:v>
      </x:c>
      <x:c r="D13" s="29" t="str">
        <x:v>单服务器Docker Compose起步；模块化单体+MySQL；按实测容量扩展。</x:v>
      </x:c>
      <x:c r="E13" s="29" t="str">
        <x:v>非功能、部署、监控、成本</x:v>
      </x:c>
      <x:c r="F13" s="31" t="str">
        <x:v>阶段0</x:v>
      </x:c>
      <x:c r="G13" s="31" t="str">
        <x:v>用户/运维</x:v>
      </x:c>
      <x:c r="H13" s="31" t="str">
        <x:v>待确认</x:v>
      </x:c>
      <x:c r="I13" s="29" t="str"/>
      <x:c r="J13" s="29" t="str"/>
    </x:row>
    <x:row r="14" ht="55" customHeight="1">
      <x:c r="A14" s="31" t="str">
        <x:v>D-010</x:v>
      </x:c>
      <x:c r="B14" s="29" t="str">
        <x:v>历史数据迁移</x:v>
      </x:c>
      <x:c r="C14" s="29" t="str">
        <x:v>旧系统哪些主数据和历史事实有保留价值。</x:v>
      </x:c>
      <x:c r="D14" s="29" t="str">
        <x:v>只迁移清洗后的组织、物料、供应商及有证据的供应源；不迁移旧SCM错误业务结构。</x:v>
      </x:c>
      <x:c r="E14" s="29" t="str">
        <x:v>迁移工期、数据质量、切换</x:v>
      </x:c>
      <x:c r="F14" s="31" t="str">
        <x:v>阶段1前</x:v>
      </x:c>
      <x:c r="G14" s="31" t="str">
        <x:v>业务负责人/数据</x:v>
      </x:c>
      <x:c r="H14" s="31" t="str">
        <x:v>待确认</x:v>
      </x:c>
      <x:c r="I14" s="29" t="str"/>
      <x:c r="J14" s="29" t="str"/>
    </x:row>
  </x:sheetData>
  <x:mergeCells>
    <x:mergeCell ref="A1:J1"/>
    <x:mergeCell ref="A2:J2"/>
  </x:mergeCells>
  <x:conditionalFormatting sqref="H5:H14">
    <x:cfRule type="containsText" dxfId="21" priority="1" operator="containsText" text="待确认"/>
    <x:cfRule type="containsText" dxfId="22" priority="2" operator="containsText" text="讨论中"/>
    <x:cfRule type="containsText" dxfId="23" priority="3" operator="containsText" text="已决策"/>
  </x:conditionalFormatting>
  <x:dataValidations count="1">
    <x:dataValidation type="list" sqref="H5:H14">
      <x:formula1>"待确认,讨论中,已决策,暂缓"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5c6f627c5749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4" hidden="0" customWidth="1"/>
    <x:col min="4" max="4" width="10" hidden="0" customWidth="1"/>
    <x:col min="5" max="5" width="20" hidden="0" customWidth="1"/>
    <x:col min="6" max="6" width="56" hidden="0" customWidth="1"/>
    <x:col min="7" max="7" width="10" hidden="0" customWidth="1"/>
    <x:col min="8" max="8" width="52" hidden="0" customWidth="1"/>
  </x:cols>
  <x:sheetData>
    <x:row r="1">
      <x:c r="A1" s="4" t="str">
        <x:v>填报字典与完成定义</x:v>
      </x:c>
      <x:c r="B1" s="4" t="str">
        <x:v>填报字典与完成定义</x:v>
      </x:c>
      <x:c r="C1" s="4" t="str">
        <x:v>填报字典与完成定义</x:v>
      </x:c>
      <x:c r="D1" s="4" t="str">
        <x:v>填报字典与完成定义</x:v>
      </x:c>
      <x:c r="E1" s="4" t="str">
        <x:v>填报字典与完成定义</x:v>
      </x:c>
      <x:c r="F1" s="4" t="str">
        <x:v>填报字典与完成定义</x:v>
      </x:c>
      <x:c r="G1" s="4" t="str">
        <x:v>填报字典与完成定义</x:v>
      </x:c>
      <x:c r="H1" s="4" t="str">
        <x:v>填报字典与完成定义</x:v>
      </x:c>
    </x:row>
    <x:row r="2">
      <x:c r="A2" s="8" t="str">
        <x:v>用于统一任务状态、优先级、复杂度、质量闸门和范围口径。</x:v>
      </x:c>
      <x:c r="B2" s="8" t="str">
        <x:v>用于统一任务状态、优先级、复杂度、质量闸门和范围口径。</x:v>
      </x:c>
      <x:c r="C2" s="8" t="str">
        <x:v>用于统一任务状态、优先级、复杂度、质量闸门和范围口径。</x:v>
      </x:c>
      <x:c r="D2" s="8" t="str">
        <x:v>用于统一任务状态、优先级、复杂度、质量闸门和范围口径。</x:v>
      </x:c>
      <x:c r="E2" s="8" t="str">
        <x:v>用于统一任务状态、优先级、复杂度、质量闸门和范围口径。</x:v>
      </x:c>
      <x:c r="F2" s="8" t="str">
        <x:v>用于统一任务状态、优先级、复杂度、质量闸门和范围口径。</x:v>
      </x:c>
      <x:c r="G2" s="8" t="str">
        <x:v>用于统一任务状态、优先级、复杂度、质量闸门和范围口径。</x:v>
      </x:c>
      <x:c r="H2" s="8" t="str">
        <x:v>用于统一任务状态、优先级、复杂度、质量闸门和范围口径。</x:v>
      </x:c>
    </x:row>
    <x:row r="3">
      <x:c r="A3" s="154"/>
      <x:c r="B3" s="154"/>
      <x:c r="C3" s="154"/>
      <x:c r="D3" s="154"/>
      <x:c r="E3" s="154"/>
      <x:c r="F3" s="154"/>
      <x:c r="G3" s="154"/>
      <x:c r="H3" s="154"/>
    </x:row>
    <x:row r="4" ht="30" customHeight="1">
      <x:c r="A4" s="16" t="str">
        <x:v>任务状态</x:v>
      </x:c>
      <x:c r="B4" s="16" t="str">
        <x:v>任务状态</x:v>
      </x:c>
      <x:c r="C4" s="154"/>
      <x:c r="D4" s="16" t="str">
        <x:v>优先级</x:v>
      </x:c>
      <x:c r="E4" s="16" t="str">
        <x:v>优先级</x:v>
      </x:c>
      <x:c r="F4" s="154"/>
      <x:c r="G4" s="16" t="str">
        <x:v>复杂度</x:v>
      </x:c>
      <x:c r="H4" s="16" t="str">
        <x:v>复杂度</x:v>
      </x:c>
    </x:row>
    <x:row r="5" ht="30" customHeight="1">
      <x:c r="A5" s="22" t="str">
        <x:v>值</x:v>
      </x:c>
      <x:c r="B5" s="22" t="str">
        <x:v>定义</x:v>
      </x:c>
      <x:c r="C5" s="154"/>
      <x:c r="D5" s="22" t="str">
        <x:v>值</x:v>
      </x:c>
      <x:c r="E5" s="22" t="str">
        <x:v>定义</x:v>
      </x:c>
      <x:c r="F5" s="154"/>
      <x:c r="G5" s="22" t="str">
        <x:v>值</x:v>
      </x:c>
      <x:c r="H5" s="22" t="str">
        <x:v>定义</x:v>
      </x:c>
    </x:row>
    <x:row r="6" ht="30" customHeight="1">
      <x:c r="A6" s="28" t="str">
        <x:v>未开始</x:v>
      </x:c>
      <x:c r="B6" s="28" t="str">
        <x:v>尚未进入执行</x:v>
      </x:c>
      <x:c r="C6" s="154"/>
      <x:c r="D6" s="28" t="str">
        <x:v>P0</x:v>
      </x:c>
      <x:c r="E6" s="28" t="str">
        <x:v>阶段出口和核心闭环必需，未完成不得结束阶段</x:v>
      </x:c>
      <x:c r="F6" s="154"/>
      <x:c r="G6" s="28" t="str">
        <x:v>S</x:v>
      </x:c>
      <x:c r="H6" s="28" t="str">
        <x:v>单点小改动或简单配置</x:v>
      </x:c>
    </x:row>
    <x:row r="7" ht="30" customHeight="1">
      <x:c r="A7" s="29" t="str">
        <x:v>进行中</x:v>
      </x:c>
      <x:c r="B7" s="29" t="str">
        <x:v>正在开发/编制</x:v>
      </x:c>
      <x:c r="C7" s="154"/>
      <x:c r="D7" s="29" t="str">
        <x:v>P1</x:v>
      </x:c>
      <x:c r="E7" s="29" t="str">
        <x:v>建议在本阶段完成，可经评审后顺延</x:v>
      </x:c>
      <x:c r="F7" s="154"/>
      <x:c r="G7" s="29" t="str">
        <x:v>M</x:v>
      </x:c>
      <x:c r="H7" s="29" t="str">
        <x:v>单一组件/页面/服务，依赖少</x:v>
      </x:c>
    </x:row>
    <x:row r="8" ht="30" customHeight="1">
      <x:c r="A8" s="29" t="str">
        <x:v>待复核</x:v>
      </x:c>
      <x:c r="B8" s="29" t="str">
        <x:v>开发完成，等待Codex独立复核</x:v>
      </x:c>
      <x:c r="C8" s="154"/>
      <x:c r="D8" s="29" t="str">
        <x:v>P2</x:v>
      </x:c>
      <x:c r="E8" s="29" t="str">
        <x:v>增强/储备，不阻断V1.0上线</x:v>
      </x:c>
      <x:c r="F8" s="154"/>
      <x:c r="G8" s="29" t="str">
        <x:v>L</x:v>
      </x:c>
      <x:c r="H8" s="29" t="str">
        <x:v>完整功能切片，涉及前后端/数据/权限</x:v>
      </x:c>
    </x:row>
    <x:row r="9" ht="30" customHeight="1">
      <x:c r="A9" s="29" t="str">
        <x:v>待验收</x:v>
      </x:c>
      <x:c r="B9" s="29" t="str">
        <x:v>复核和构建通过，等待业务验收</x:v>
      </x:c>
      <x:c r="C9" s="154"/>
      <x:c r="D9" s="154"/>
      <x:c r="E9" s="154"/>
      <x:c r="F9" s="154"/>
      <x:c r="G9" s="29" t="str">
        <x:v>XL</x:v>
      </x:c>
      <x:c r="H9" s="29" t="str">
        <x:v>跨模块、状态复杂或高风险集成，应继续拆详细任务</x:v>
      </x:c>
    </x:row>
    <x:row r="10" ht="30" customHeight="1">
      <x:c r="A10" s="29" t="str">
        <x:v>已完成</x:v>
      </x:c>
      <x:c r="B10" s="29" t="str">
        <x:v>验收通过且适用的提交/部署闸门完成</x:v>
      </x:c>
      <x:c r="C10" s="154"/>
      <x:c r="D10" s="154"/>
      <x:c r="E10" s="154"/>
      <x:c r="F10" s="154"/>
      <x:c r="G10" s="154"/>
      <x:c r="H10" s="154"/>
    </x:row>
    <x:row r="11" ht="30" customHeight="1">
      <x:c r="A11" s="29" t="str">
        <x:v>已阻塞</x:v>
      </x:c>
      <x:c r="B11" s="29" t="str">
        <x:v>存在明确阻塞及责任人</x:v>
      </x:c>
      <x:c r="C11" s="154"/>
      <x:c r="D11" s="154"/>
      <x:c r="E11" s="154"/>
      <x:c r="F11" s="154"/>
      <x:c r="G11" s="154"/>
      <x:c r="H11" s="154"/>
    </x:row>
    <x:row r="12" ht="30" customHeight="1">
      <x:c r="A12" s="29" t="str">
        <x:v>已取消</x:v>
      </x:c>
      <x:c r="B12" s="29" t="str">
        <x:v>经批准取消并记录影响</x:v>
      </x:c>
      <x:c r="C12" s="154"/>
      <x:c r="D12" s="154"/>
      <x:c r="E12" s="154"/>
      <x:c r="F12" s="154"/>
      <x:c r="G12" s="154"/>
      <x:c r="H12" s="154"/>
    </x:row>
    <x:row r="13" ht="30" customHeight="1">
      <x:c r="A13" s="154"/>
      <x:c r="B13" s="154"/>
      <x:c r="C13" s="154"/>
      <x:c r="D13" s="154"/>
      <x:c r="E13" s="154"/>
      <x:c r="F13" s="154"/>
      <x:c r="G13" s="154"/>
      <x:c r="H13" s="154"/>
    </x:row>
    <x:row r="14" ht="30" customHeight="1">
      <x:c r="A14" s="154"/>
      <x:c r="B14" s="154"/>
      <x:c r="C14" s="154"/>
      <x:c r="D14" s="154"/>
      <x:c r="E14" s="154"/>
      <x:c r="F14" s="154"/>
      <x:c r="G14" s="154"/>
      <x:c r="H14" s="154"/>
    </x:row>
    <x:row r="15" ht="30" customHeight="1">
      <x:c r="A15" s="16" t="str">
        <x:v>质量闸门</x:v>
      </x:c>
      <x:c r="B15" s="16" t="str">
        <x:v>质量闸门</x:v>
      </x:c>
      <x:c r="C15" s="154"/>
      <x:c r="D15" s="16" t="str">
        <x:v>任务完成定义（Definition of Done）</x:v>
      </x:c>
      <x:c r="E15" s="16" t="str">
        <x:v>任务完成定义（Definition of Done）</x:v>
      </x:c>
      <x:c r="F15" s="16" t="str">
        <x:v>任务完成定义（Definition of Done）</x:v>
      </x:c>
      <x:c r="G15" s="154"/>
      <x:c r="H15" s="154"/>
    </x:row>
    <x:row r="16" ht="30" customHeight="1">
      <x:c r="A16" s="22" t="str">
        <x:v>值</x:v>
      </x:c>
      <x:c r="B16" s="22" t="str">
        <x:v>定义</x:v>
      </x:c>
      <x:c r="C16" s="154"/>
      <x:c r="D16" s="22" t="str">
        <x:v>序号</x:v>
      </x:c>
      <x:c r="E16" s="22" t="str">
        <x:v>维度</x:v>
      </x:c>
      <x:c r="F16" s="22" t="str">
        <x:v>完成条件</x:v>
      </x:c>
      <x:c r="G16" s="154"/>
      <x:c r="H16" s="154"/>
    </x:row>
    <x:row r="17" ht="30" customHeight="1">
      <x:c r="A17" s="28" t="str">
        <x:v>待执行</x:v>
      </x:c>
      <x:c r="B17" s="28" t="str">
        <x:v>尚未执行该闸门</x:v>
      </x:c>
      <x:c r="C17" s="154"/>
      <x:c r="D17" s="28" t="str">
        <x:v>1</x:v>
      </x:c>
      <x:c r="E17" s="28" t="str">
        <x:v>需求/规则</x:v>
      </x:c>
      <x:c r="F17" s="28" t="str">
        <x:v>任务说明和关键业务规则已实现，无未记录的范围偏离。</x:v>
      </x:c>
      <x:c r="G17" s="154"/>
      <x:c r="H17" s="154"/>
    </x:row>
    <x:row r="18" ht="30" customHeight="1">
      <x:c r="A18" s="29" t="str">
        <x:v>通过</x:v>
      </x:c>
      <x:c r="B18" s="29" t="str">
        <x:v>已完成且证据可追溯</x:v>
      </x:c>
      <x:c r="C18" s="154"/>
      <x:c r="D18" s="29" t="str">
        <x:v>2</x:v>
      </x:c>
      <x:c r="E18" s="29" t="str">
        <x:v>权限/数据域</x:v>
      </x:c>
      <x:c r="F18" s="29" t="str">
        <x:v>菜单、按钮、API、数据域及供应商隔离均通过。</x:v>
      </x:c>
      <x:c r="G18" s="154"/>
      <x:c r="H18" s="154"/>
    </x:row>
    <x:row r="19" ht="30" customHeight="1">
      <x:c r="A19" s="29" t="str">
        <x:v>不通过</x:v>
      </x:c>
      <x:c r="B19" s="29" t="str">
        <x:v>发现问题，任务不得标记完成</x:v>
      </x:c>
      <x:c r="C19" s="154"/>
      <x:c r="D19" s="29" t="str">
        <x:v>3</x:v>
      </x:c>
      <x:c r="E19" s="29" t="str">
        <x:v>状态/版本</x:v>
      </x:c>
      <x:c r="F19" s="29" t="str">
        <x:v>正向、异常、撤回/取消、版本和审计路径通过。</x:v>
      </x:c>
      <x:c r="G19" s="154"/>
      <x:c r="H19" s="154"/>
    </x:row>
    <x:row r="20" ht="30" customHeight="1">
      <x:c r="A20" s="29" t="str">
        <x:v>不适用</x:v>
      </x:c>
      <x:c r="B20" s="29" t="str">
        <x:v>该任务类型无需执行此闸门</x:v>
      </x:c>
      <x:c r="C20" s="154"/>
      <x:c r="D20" s="29" t="str">
        <x:v>4</x:v>
      </x:c>
      <x:c r="E20" s="29" t="str">
        <x:v>工程质量</x:v>
      </x:c>
      <x:c r="F20" s="29" t="str">
        <x:v>构建、自动化测试、数据库迁移和接口契约通过。</x:v>
      </x:c>
      <x:c r="G20" s="154"/>
      <x:c r="H20" s="154"/>
    </x:row>
    <x:row r="21" ht="30" customHeight="1">
      <x:c r="A21" s="154"/>
      <x:c r="B21" s="154"/>
      <x:c r="C21" s="154"/>
      <x:c r="D21" s="29" t="str">
        <x:v>5</x:v>
      </x:c>
      <x:c r="E21" s="29" t="str">
        <x:v>独立复核</x:v>
      </x:c>
      <x:c r="F21" s="29" t="str">
        <x:v>Codex复核无未关闭P0/P1问题。</x:v>
      </x:c>
      <x:c r="G21" s="154"/>
      <x:c r="H21" s="154"/>
    </x:row>
    <x:row r="22" ht="30" customHeight="1">
      <x:c r="A22" s="154"/>
      <x:c r="B22" s="154"/>
      <x:c r="C22" s="154"/>
      <x:c r="D22" s="29" t="str">
        <x:v>6</x:v>
      </x:c>
      <x:c r="E22" s="29" t="str">
        <x:v>交付闭环</x:v>
      </x:c>
      <x:c r="F22" s="29" t="str">
        <x:v>适用时已Git提交、部署验证并由用户验收。</x:v>
      </x:c>
      <x:c r="G22" s="154"/>
      <x:c r="H22" s="154"/>
    </x:row>
    <x:row r="23" ht="30" customHeight="1">
      <x:c r="A23" s="154"/>
      <x:c r="B23" s="154"/>
      <x:c r="C23" s="154"/>
      <x:c r="D23" s="154"/>
      <x:c r="E23" s="154"/>
      <x:c r="F23" s="154"/>
      <x:c r="G23" s="154"/>
      <x:c r="H23" s="154"/>
    </x:row>
    <x:row r="24" ht="30" customHeight="1">
      <x:c r="A24" s="16" t="str">
        <x:v>范围口径</x:v>
      </x:c>
      <x:c r="B24" s="16" t="str">
        <x:v>范围口径</x:v>
      </x:c>
      <x:c r="C24" s="16" t="str">
        <x:v>范围口径</x:v>
      </x:c>
      <x:c r="D24" s="16" t="str">
        <x:v>范围口径</x:v>
      </x:c>
      <x:c r="E24" s="16" t="str">
        <x:v>范围口径</x:v>
      </x:c>
      <x:c r="F24" s="16" t="str">
        <x:v>范围口径</x:v>
      </x:c>
      <x:c r="G24" s="16" t="str">
        <x:v>范围口径</x:v>
      </x:c>
      <x:c r="H24" s="16" t="str">
        <x:v>范围口径</x:v>
      </x:c>
    </x:row>
    <x:row r="25" ht="30" customHeight="1">
      <x:c r="A25" s="22" t="str">
        <x:v>值</x:v>
      </x:c>
      <x:c r="B25" s="22" t="str">
        <x:v>定义</x:v>
      </x:c>
      <x:c r="C25" s="154"/>
      <x:c r="D25" s="154"/>
      <x:c r="E25" s="154"/>
      <x:c r="F25" s="154"/>
      <x:c r="G25" s="154"/>
      <x:c r="H25" s="154"/>
    </x:row>
    <x:row r="26" ht="30" customHeight="1">
      <x:c r="A26" s="28" t="str">
        <x:v>V1.0基线</x:v>
      </x:c>
      <x:c r="B26" s="28" t="str">
        <x:v>阶段0–6；计入V1.0任务总数和完成率</x:v>
      </x:c>
      <x:c r="C26" s="154"/>
      <x:c r="D26" s="154"/>
      <x:c r="E26" s="154"/>
      <x:c r="F26" s="154"/>
      <x:c r="G26" s="154"/>
      <x:c r="H26" s="154"/>
    </x:row>
    <x:row r="27" ht="30" customHeight="1">
      <x:c r="A27" s="29" t="str">
        <x:v>高级储备（不计入V1.0上线）</x:v>
      </x:c>
      <x:c r="B27" s="29" t="str">
        <x:v>阶段7；按真实企业需求另行立项，不阻断V1.0</x:v>
      </x:c>
      <x:c r="C27" s="154"/>
      <x:c r="D27" s="154"/>
      <x:c r="E27" s="154"/>
      <x:c r="F27" s="154"/>
      <x:c r="G27" s="154"/>
      <x:c r="H27" s="154"/>
    </x:row>
  </x:sheetData>
  <x:mergeCells>
    <x:mergeCell ref="A1:H1"/>
    <x:mergeCell ref="A2:H2"/>
    <x:mergeCell ref="A4:B4"/>
    <x:mergeCell ref="D4:E4"/>
    <x:mergeCell ref="G4:H4"/>
    <x:mergeCell ref="A15:B15"/>
    <x:mergeCell ref="D15:F15"/>
    <x:mergeCell ref="A24:H24"/>
  </x:mergeCells>
  <x:pageMargins left="0.7" right="0.7" top="0.75" bottom="0.75" header="0.3" footer="0.3"/>
</x:worksheet>
</file>